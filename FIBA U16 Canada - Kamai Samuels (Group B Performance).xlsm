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03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kdot/Desktop/GameOVA/"/>
    </mc:Choice>
  </mc:AlternateContent>
  <xr:revisionPtr revIDLastSave="0" documentId="8_{FBC7DF41-CB98-47EF-ADB3-4812410828AF}" xr6:coauthVersionLast="47" xr6:coauthVersionMax="47" xr10:uidLastSave="{00000000-0000-0000-0000-000000000000}"/>
  <bookViews>
    <workbookView xWindow="0" yWindow="500" windowWidth="28800" windowHeight="15900" firstSheet="2" activeTab="2" xr2:uid="{C7FB38DE-663B-3C4A-B229-58CC427EDC1C}"/>
  </bookViews>
  <sheets>
    <sheet name="Player Game Log" sheetId="6" r:id="rId1"/>
    <sheet name="A|T Ratio" sheetId="9" state="hidden" r:id="rId2"/>
    <sheet name="FG%" sheetId="8" r:id="rId3"/>
    <sheet name="Defense" sheetId="11" r:id="rId4"/>
    <sheet name="Rebounds" sheetId="10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9" l="1"/>
  <c r="E3" i="9"/>
  <c r="E2" i="9"/>
  <c r="T4" i="8"/>
  <c r="T5" i="8"/>
  <c r="T6" i="8"/>
  <c r="AB6" i="8"/>
  <c r="Y6" i="8"/>
  <c r="AB5" i="8"/>
  <c r="Y5" i="8"/>
  <c r="AB4" i="8"/>
  <c r="Y4" i="8"/>
  <c r="Y31" i="6"/>
  <c r="Z31" i="6"/>
  <c r="X31" i="6"/>
  <c r="F31" i="6"/>
  <c r="W31" i="6"/>
  <c r="J31" i="6"/>
  <c r="H31" i="6"/>
  <c r="G31" i="6"/>
  <c r="E31" i="6"/>
  <c r="M6" i="6"/>
  <c r="M5" i="6"/>
  <c r="G7" i="6"/>
  <c r="D7" i="6"/>
  <c r="M3" i="6" l="1"/>
  <c r="H7" i="6"/>
  <c r="E7" i="6"/>
  <c r="D4" i="6"/>
  <c r="V31" i="6"/>
  <c r="T31" i="6"/>
  <c r="Q31" i="6"/>
  <c r="N31" i="6"/>
  <c r="K31" i="6"/>
  <c r="M7" i="6"/>
  <c r="U31" i="6"/>
  <c r="M31" i="6"/>
  <c r="P31" i="6" l="1"/>
  <c r="S31" i="6"/>
  <c r="F7" i="6" s="1"/>
  <c r="R31" i="6"/>
  <c r="O31" i="6"/>
  <c r="G4" i="6" s="1"/>
  <c r="L31" i="6"/>
  <c r="F4" i="6" s="1"/>
  <c r="I31" i="6"/>
  <c r="E4" i="6" s="1"/>
  <c r="M4" i="6"/>
  <c r="H4" i="6"/>
</calcChain>
</file>

<file path=xl/sharedStrings.xml><?xml version="1.0" encoding="utf-8"?>
<sst xmlns="http://schemas.openxmlformats.org/spreadsheetml/2006/main" count="116" uniqueCount="58">
  <si>
    <t>#4 Kamai Samuels</t>
  </si>
  <si>
    <t>Averages</t>
  </si>
  <si>
    <t>Season Highs</t>
  </si>
  <si>
    <t>PPG</t>
  </si>
  <si>
    <t>FG%</t>
  </si>
  <si>
    <t>2FG%</t>
  </si>
  <si>
    <t>3FG%</t>
  </si>
  <si>
    <t>FT%</t>
  </si>
  <si>
    <t>Game High Points</t>
  </si>
  <si>
    <t>Game High FG%</t>
  </si>
  <si>
    <t>Game High Rebounds</t>
  </si>
  <si>
    <t>Rebounds</t>
  </si>
  <si>
    <t>Turnovers</t>
  </si>
  <si>
    <t>A/TO</t>
  </si>
  <si>
    <t>Blocks</t>
  </si>
  <si>
    <t>Steals</t>
  </si>
  <si>
    <t>Game High Steals</t>
  </si>
  <si>
    <t>Game High Assists</t>
  </si>
  <si>
    <t>Date</t>
  </si>
  <si>
    <t>Score</t>
  </si>
  <si>
    <t>Opponent</t>
  </si>
  <si>
    <t>Season</t>
  </si>
  <si>
    <t>Points</t>
  </si>
  <si>
    <t>MINS</t>
  </si>
  <si>
    <t>FGM</t>
  </si>
  <si>
    <t>FGA</t>
  </si>
  <si>
    <t>2FGM</t>
  </si>
  <si>
    <t>2FGA</t>
  </si>
  <si>
    <t>3FGM</t>
  </si>
  <si>
    <t>3FGA</t>
  </si>
  <si>
    <t>FTM</t>
  </si>
  <si>
    <t>FTA</t>
  </si>
  <si>
    <t>Assists</t>
  </si>
  <si>
    <t>Points Allowed</t>
  </si>
  <si>
    <t>2FGM Allowed</t>
  </si>
  <si>
    <t>3FGM Allowed</t>
  </si>
  <si>
    <t>W: 57 - 63</t>
  </si>
  <si>
    <t>Dom.Republic</t>
  </si>
  <si>
    <t>2023 Fiba U16 Group B</t>
  </si>
  <si>
    <t>W: 75 - 65</t>
  </si>
  <si>
    <t>Uruguay</t>
  </si>
  <si>
    <t>1</t>
  </si>
  <si>
    <t>W: 74 - 56</t>
  </si>
  <si>
    <t>Brazil</t>
  </si>
  <si>
    <t>Totals</t>
  </si>
  <si>
    <t>Assist</t>
  </si>
  <si>
    <t>Turnover</t>
  </si>
  <si>
    <t xml:space="preserve">A:TO </t>
  </si>
  <si>
    <t>U16 Dom.Republic</t>
  </si>
  <si>
    <t>U16 Uruguay</t>
  </si>
  <si>
    <t>U16 Brazil</t>
  </si>
  <si>
    <t>Team</t>
  </si>
  <si>
    <t>Session</t>
  </si>
  <si>
    <t>Open FGA</t>
  </si>
  <si>
    <t>Open FGM</t>
  </si>
  <si>
    <t>U16 Canada</t>
  </si>
  <si>
    <t>Opponents</t>
  </si>
  <si>
    <t>PTS Allowed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</si>
</sst>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[h]:mm:ss;@"/>
  </numFmts>
  <fonts count="2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8"/>
      <color rgb="FFFFC000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8"/>
      <color rgb="FF000000"/>
      <name val="Calibri"/>
    </font>
    <font>
      <sz val="18"/>
      <color rgb="FF00000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color rgb="FF000000"/>
      <name val="Calibri"/>
      <family val="2"/>
    </font>
    <font>
      <sz val="16"/>
      <color rgb="FFFF0000"/>
      <name val="Calibri"/>
      <family val="2"/>
      <scheme val="minor"/>
    </font>
    <font>
      <sz val="16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4823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/>
    </xf>
    <xf numFmtId="1" fontId="6" fillId="2" borderId="14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49" fontId="6" fillId="2" borderId="6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9" fontId="6" fillId="2" borderId="8" xfId="1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" fontId="6" fillId="2" borderId="8" xfId="0" applyNumberFormat="1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164" fontId="4" fillId="4" borderId="1" xfId="1" applyNumberFormat="1" applyFont="1" applyFill="1" applyBorder="1" applyAlignment="1">
      <alignment horizontal="center" vertical="center"/>
    </xf>
    <xf numFmtId="1" fontId="4" fillId="4" borderId="5" xfId="0" applyNumberFormat="1" applyFont="1" applyFill="1" applyBorder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  <xf numFmtId="1" fontId="4" fillId="4" borderId="11" xfId="0" applyNumberFormat="1" applyFont="1" applyFill="1" applyBorder="1" applyAlignment="1">
      <alignment horizontal="center" vertical="center"/>
    </xf>
    <xf numFmtId="1" fontId="4" fillId="4" borderId="13" xfId="0" applyNumberFormat="1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9" fontId="4" fillId="4" borderId="1" xfId="1" applyFont="1" applyFill="1" applyBorder="1" applyAlignment="1">
      <alignment horizontal="center" vertical="center"/>
    </xf>
    <xf numFmtId="1" fontId="4" fillId="4" borderId="1" xfId="1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64" fontId="4" fillId="0" borderId="0" xfId="1" applyNumberFormat="1" applyFont="1" applyFill="1" applyBorder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9" fontId="4" fillId="0" borderId="0" xfId="1" applyFont="1" applyFill="1" applyBorder="1" applyAlignment="1">
      <alignment horizontal="center" vertical="center"/>
    </xf>
    <xf numFmtId="0" fontId="4" fillId="4" borderId="1" xfId="1" applyNumberFormat="1" applyFont="1" applyFill="1" applyBorder="1" applyAlignment="1">
      <alignment horizontal="center" vertical="center"/>
    </xf>
    <xf numFmtId="1" fontId="6" fillId="2" borderId="10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9" fontId="4" fillId="2" borderId="1" xfId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" fontId="13" fillId="4" borderId="1" xfId="0" applyNumberFormat="1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1" fontId="14" fillId="4" borderId="1" xfId="0" applyNumberFormat="1" applyFont="1" applyFill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64" fontId="4" fillId="0" borderId="0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165" fontId="4" fillId="0" borderId="20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11" fillId="6" borderId="2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14" fontId="11" fillId="7" borderId="2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8" fillId="4" borderId="1" xfId="0" quotePrefix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20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14" fontId="22" fillId="7" borderId="22" xfId="0" applyNumberFormat="1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 wrapText="1"/>
    </xf>
    <xf numFmtId="0" fontId="4" fillId="4" borderId="23" xfId="0" applyNumberFormat="1" applyFont="1" applyFill="1" applyBorder="1" applyAlignment="1">
      <alignment horizontal="center" vertical="center"/>
    </xf>
    <xf numFmtId="0" fontId="4" fillId="4" borderId="24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4" borderId="25" xfId="0" applyNumberFormat="1" applyFont="1" applyFill="1" applyBorder="1" applyAlignment="1">
      <alignment horizontal="center" vertical="center"/>
    </xf>
    <xf numFmtId="1" fontId="0" fillId="4" borderId="1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0" fillId="4" borderId="0" xfId="0" applyFill="1"/>
    <xf numFmtId="166" fontId="4" fillId="2" borderId="1" xfId="0" applyNumberFormat="1" applyFont="1" applyFill="1" applyBorder="1" applyAlignment="1">
      <alignment horizontal="center" vertical="center"/>
    </xf>
    <xf numFmtId="166" fontId="4" fillId="4" borderId="1" xfId="0" applyNumberFormat="1" applyFont="1" applyFill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/>
    <xf numFmtId="0" fontId="6" fillId="5" borderId="1" xfId="0" applyFont="1" applyFill="1" applyBorder="1" applyAlignment="1">
      <alignment horizontal="center" vertical="center"/>
    </xf>
    <xf numFmtId="14" fontId="7" fillId="6" borderId="26" xfId="0" applyNumberFormat="1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1" fontId="6" fillId="4" borderId="1" xfId="0" applyNumberFormat="1" applyFont="1" applyFill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4" borderId="1" xfId="1" applyNumberFormat="1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2"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6" formatCode="[h]:mm:ss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Calibri"/>
        <family val="2"/>
        <scheme val="minor"/>
      </font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rgb="FF54823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Table Style 1" pivot="0" count="0" xr9:uid="{823FF889-869F-2E45-B188-0311A7206F2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Kamai Samuel's FG% Against Last 3 Opponents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'FG%'!$T$3</c:f>
              <c:strCache>
                <c:ptCount val="1"/>
                <c:pt idx="0">
                  <c:v>FG%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'FG%'!$P$4:$P$6</c:f>
              <c:strCache>
                <c:ptCount val="3"/>
                <c:pt idx="0">
                  <c:v>U16 Dom.Republic</c:v>
                </c:pt>
                <c:pt idx="1">
                  <c:v>U16 Uruguay</c:v>
                </c:pt>
                <c:pt idx="2">
                  <c:v>U16 Brazil</c:v>
                </c:pt>
              </c:strCache>
            </c:strRef>
          </c:cat>
          <c:val>
            <c:numRef>
              <c:f>'FG%'!$T$4:$T$6</c:f>
              <c:numCache>
                <c:formatCode>0.0%</c:formatCode>
                <c:ptCount val="3"/>
                <c:pt idx="0">
                  <c:v>0.44444444444444442</c:v>
                </c:pt>
                <c:pt idx="1">
                  <c:v>0.33333333333333331</c:v>
                </c:pt>
                <c:pt idx="2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2E-4483-8F50-5B59B0BD4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998296"/>
        <c:axId val="787990136"/>
      </c:lineChart>
      <c:catAx>
        <c:axId val="787998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990136"/>
        <c:crosses val="autoZero"/>
        <c:auto val="1"/>
        <c:lblAlgn val="ctr"/>
        <c:lblOffset val="100"/>
        <c:noMultiLvlLbl val="0"/>
      </c:catAx>
      <c:valAx>
        <c:axId val="787990136"/>
        <c:scaling>
          <c:orientation val="minMax"/>
          <c:min val="0.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998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Kamai Samuel's FG% Against Last 3 Opponents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'FG%'!$Y$3</c:f>
              <c:strCache>
                <c:ptCount val="1"/>
                <c:pt idx="0">
                  <c:v>2FG%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'FG%'!$P$4:$P$6</c:f>
              <c:strCache>
                <c:ptCount val="3"/>
                <c:pt idx="0">
                  <c:v>U16 Dom.Republic</c:v>
                </c:pt>
                <c:pt idx="1">
                  <c:v>U16 Uruguay</c:v>
                </c:pt>
                <c:pt idx="2">
                  <c:v>U16 Brazil</c:v>
                </c:pt>
              </c:strCache>
            </c:strRef>
          </c:cat>
          <c:val>
            <c:numRef>
              <c:f>'FG%'!$Y$4:$Y$6</c:f>
              <c:numCache>
                <c:formatCode>0.0%</c:formatCode>
                <c:ptCount val="3"/>
                <c:pt idx="0">
                  <c:v>0.5</c:v>
                </c:pt>
                <c:pt idx="1">
                  <c:v>0.42857142857142855</c:v>
                </c:pt>
                <c:pt idx="2">
                  <c:v>0.14285714285714285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DB-498C-AD3E-AF51BBE67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788536"/>
        <c:axId val="1451811576"/>
      </c:lineChart>
      <c:catAx>
        <c:axId val="145178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811576"/>
        <c:crosses val="autoZero"/>
        <c:auto val="1"/>
        <c:lblAlgn val="ctr"/>
        <c:lblOffset val="100"/>
        <c:noMultiLvlLbl val="0"/>
      </c:catAx>
      <c:valAx>
        <c:axId val="1451811576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88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Kamai Samuel's FG% Against Last 3 Opponents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'FG%'!$AB$3</c:f>
              <c:strCache>
                <c:ptCount val="1"/>
                <c:pt idx="0">
                  <c:v>3FG%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'FG%'!$P$4:$P$6</c:f>
              <c:strCache>
                <c:ptCount val="3"/>
                <c:pt idx="0">
                  <c:v>U16 Dom.Republic</c:v>
                </c:pt>
                <c:pt idx="1">
                  <c:v>U16 Uruguay</c:v>
                </c:pt>
                <c:pt idx="2">
                  <c:v>U16 Brazil</c:v>
                </c:pt>
              </c:strCache>
            </c:strRef>
          </c:cat>
          <c:val>
            <c:numRef>
              <c:f>'FG%'!$AB$4:$AB$6</c:f>
              <c:numCache>
                <c:formatCode>0.0%</c:formatCode>
                <c:ptCount val="3"/>
                <c:pt idx="0">
                  <c:v>0.33333333333333331</c:v>
                </c:pt>
                <c:pt idx="1">
                  <c:v>0.14285714285714285</c:v>
                </c:pt>
                <c:pt idx="2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EC-4374-94A4-204390166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9165560"/>
        <c:axId val="1429167960"/>
      </c:lineChart>
      <c:catAx>
        <c:axId val="142916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167960"/>
        <c:crosses val="autoZero"/>
        <c:auto val="1"/>
        <c:lblAlgn val="ctr"/>
        <c:lblOffset val="100"/>
        <c:noMultiLvlLbl val="0"/>
      </c:catAx>
      <c:valAx>
        <c:axId val="1429167960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16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Kamai Samuels' Defense vs Group B Opponents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Defense!$A$2:$C$2</c:f>
              <c:strCache>
                <c:ptCount val="3"/>
                <c:pt idx="0">
                  <c:v>W: 57 - 63</c:v>
                </c:pt>
                <c:pt idx="1">
                  <c:v>U16 Dom.Republic</c:v>
                </c:pt>
                <c:pt idx="2">
                  <c:v>2023 Fiba U16 Group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Defense!$D$1:$F$1</c:f>
              <c:strCache>
                <c:ptCount val="3"/>
                <c:pt idx="0">
                  <c:v>2FGM Allowed</c:v>
                </c:pt>
                <c:pt idx="1">
                  <c:v>3FGM Allowed</c:v>
                </c:pt>
                <c:pt idx="2">
                  <c:v>PTS Allowed</c:v>
                </c:pt>
              </c:strCache>
            </c:strRef>
          </c:cat>
          <c:val>
            <c:numRef>
              <c:f>Defense!$D$2:$F$2</c:f>
              <c:numCache>
                <c:formatCode>General</c:formatCode>
                <c:ptCount val="3"/>
                <c:pt idx="0">
                  <c:v>4</c:v>
                </c:pt>
                <c:pt idx="1">
                  <c:v>0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9C-40EE-B790-32F69A1C5DD9}"/>
            </c:ext>
          </c:extLst>
        </c:ser>
        <c:ser>
          <c:idx val="1"/>
          <c:order val="1"/>
          <c:tx>
            <c:strRef>
              <c:f>Defense!$A$3:$C$3</c:f>
              <c:strCache>
                <c:ptCount val="3"/>
                <c:pt idx="0">
                  <c:v>W: 75 - 65</c:v>
                </c:pt>
                <c:pt idx="1">
                  <c:v>U16 Uruguay</c:v>
                </c:pt>
                <c:pt idx="2">
                  <c:v>2023 Fiba U16 Group 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Defense!$D$1:$F$1</c:f>
              <c:strCache>
                <c:ptCount val="3"/>
                <c:pt idx="0">
                  <c:v>2FGM Allowed</c:v>
                </c:pt>
                <c:pt idx="1">
                  <c:v>3FGM Allowed</c:v>
                </c:pt>
                <c:pt idx="2">
                  <c:v>PTS Allowed</c:v>
                </c:pt>
              </c:strCache>
            </c:strRef>
          </c:cat>
          <c:val>
            <c:numRef>
              <c:f>Defense!$D$3:$F$3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9C-40EE-B790-32F69A1C5DD9}"/>
            </c:ext>
          </c:extLst>
        </c:ser>
        <c:ser>
          <c:idx val="2"/>
          <c:order val="2"/>
          <c:tx>
            <c:strRef>
              <c:f>Defense!$A$4:$C$4</c:f>
              <c:strCache>
                <c:ptCount val="3"/>
                <c:pt idx="0">
                  <c:v>W: 74 - 56</c:v>
                </c:pt>
                <c:pt idx="1">
                  <c:v>U16 Brazil</c:v>
                </c:pt>
                <c:pt idx="2">
                  <c:v>2023 Fiba U16 Group 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Defense!$D$1:$F$1</c:f>
              <c:strCache>
                <c:ptCount val="3"/>
                <c:pt idx="0">
                  <c:v>2FGM Allowed</c:v>
                </c:pt>
                <c:pt idx="1">
                  <c:v>3FGM Allowed</c:v>
                </c:pt>
                <c:pt idx="2">
                  <c:v>PTS Allowed</c:v>
                </c:pt>
              </c:strCache>
            </c:strRef>
          </c:cat>
          <c:val>
            <c:numRef>
              <c:f>Defense!$D$4:$F$4</c:f>
              <c:numCache>
                <c:formatCode>General</c:formatCode>
                <c:ptCount val="3"/>
                <c:pt idx="0">
                  <c:v>2</c:v>
                </c:pt>
                <c:pt idx="1">
                  <c:v>0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9C-40EE-B790-32F69A1C5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818503"/>
        <c:axId val="1559390743"/>
      </c:barChart>
      <c:catAx>
        <c:axId val="1692818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390743"/>
        <c:crosses val="autoZero"/>
        <c:auto val="1"/>
        <c:lblAlgn val="ctr"/>
        <c:lblOffset val="100"/>
        <c:noMultiLvlLbl val="0"/>
      </c:catAx>
      <c:valAx>
        <c:axId val="1559390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818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Rebounds</a:t>
            </a:r>
            <a:r>
              <a:rPr lang="en-US" baseline="0"/>
              <a:t> By Game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Rebounds!$N$5:$N$7</c:f>
              <c:strCache>
                <c:ptCount val="3"/>
                <c:pt idx="0">
                  <c:v>U16 Dom.Republic</c:v>
                </c:pt>
                <c:pt idx="1">
                  <c:v>U16 Uruguay</c:v>
                </c:pt>
                <c:pt idx="2">
                  <c:v>U16 Brazil</c:v>
                </c:pt>
              </c:strCache>
            </c:strRef>
          </c:cat>
          <c:val>
            <c:numRef>
              <c:f>Rebounds!$O$5:$O$7</c:f>
              <c:numCache>
                <c:formatCode>0</c:formatCode>
                <c:ptCount val="3"/>
                <c:pt idx="0">
                  <c:v>6</c:v>
                </c:pt>
                <c:pt idx="1">
                  <c:v>10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8-1E4E-9636-603971794D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12664512"/>
        <c:axId val="2012666240"/>
      </c:barChart>
      <c:catAx>
        <c:axId val="201266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666240"/>
        <c:crosses val="autoZero"/>
        <c:auto val="1"/>
        <c:lblAlgn val="ctr"/>
        <c:lblOffset val="100"/>
        <c:noMultiLvlLbl val="0"/>
      </c:catAx>
      <c:valAx>
        <c:axId val="20126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66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561975</xdr:rowOff>
    </xdr:from>
    <xdr:to>
      <xdr:col>2</xdr:col>
      <xdr:colOff>1323975</xdr:colOff>
      <xdr:row>11</xdr:row>
      <xdr:rowOff>66675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95637D-C819-3C03-712E-E8E4A8F3D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561975"/>
          <a:ext cx="3981450" cy="2647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6</xdr:col>
      <xdr:colOff>647700</xdr:colOff>
      <xdr:row>26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D08E20-30D3-6439-1C18-7AF0C3ED5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704850</xdr:colOff>
      <xdr:row>0</xdr:row>
      <xdr:rowOff>28575</xdr:rowOff>
    </xdr:from>
    <xdr:to>
      <xdr:col>12</xdr:col>
      <xdr:colOff>247650</xdr:colOff>
      <xdr:row>11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D1FD9E-16A8-F9D6-4830-D4CC93001CBF}"/>
            </a:ext>
            <a:ext uri="{147F2762-F138-4A5C-976F-8EAC2B608ADB}">
              <a16:predDERef xmlns:a16="http://schemas.microsoft.com/office/drawing/2014/main" pred="{B5D08E20-30D3-6439-1C18-7AF0C3ED5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704850</xdr:colOff>
      <xdr:row>11</xdr:row>
      <xdr:rowOff>19050</xdr:rowOff>
    </xdr:from>
    <xdr:to>
      <xdr:col>12</xdr:col>
      <xdr:colOff>247650</xdr:colOff>
      <xdr:row>26</xdr:row>
      <xdr:rowOff>28575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AC2FEA5-80D3-DBD4-FD7A-C73FD933D3DE}"/>
            </a:ext>
            <a:ext uri="{147F2762-F138-4A5C-976F-8EAC2B608ADB}">
              <a16:predDERef xmlns:a16="http://schemas.microsoft.com/office/drawing/2014/main" pred="{C6D1FD9E-16A8-F9D6-4830-D4CC93001C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0</xdr:rowOff>
    </xdr:from>
    <xdr:to>
      <xdr:col>10</xdr:col>
      <xdr:colOff>628650</xdr:colOff>
      <xdr:row>10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C385B7-2B2F-16AA-23C2-70AEBAE59D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11</xdr:col>
      <xdr:colOff>0</xdr:colOff>
      <xdr:row>15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D00B2E-5ED6-6318-5AD8-DC2069C7E1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2B7E84-96EB-AB42-A816-9CAAE27D319E}" name="Table3" displayName="Table3" ref="A14:Z18" totalsRowCount="1" headerRowDxfId="41" dataDxfId="40" totalsRowDxfId="39" headerRowBorderDxfId="37" tableBorderDxfId="38" totalsRowBorderDxfId="36">
  <autoFilter ref="A14:Z17" xr:uid="{852B7E84-96EB-AB42-A816-9CAAE27D319E}"/>
  <sortState xmlns:xlrd2="http://schemas.microsoft.com/office/spreadsheetml/2017/richdata2" ref="A15:T15">
    <sortCondition ref="A14:A15"/>
  </sortState>
  <tableColumns count="26">
    <tableColumn id="1" xr3:uid="{2B72F441-DF83-A247-85F2-F1AF560BE6C5}" name="Date" totalsRowDxfId="35"/>
    <tableColumn id="39" xr3:uid="{8EE17FF7-93D9-BF49-A2AA-404BF73F69E9}" name="Score" dataDxfId="33" totalsRowDxfId="34"/>
    <tableColumn id="2" xr3:uid="{24B60F2A-9600-9E46-8316-60661616789C}" name="Opponent" dataDxfId="31" totalsRowDxfId="32"/>
    <tableColumn id="3" xr3:uid="{32EA54CD-8C4C-F54D-AAE5-5447465FD92C}" name="Season" dataDxfId="29" totalsRowDxfId="30"/>
    <tableColumn id="4" xr3:uid="{EF829374-7379-AF4D-8FDE-C9FD265AE525}" name="Points" totalsRowDxfId="28"/>
    <tableColumn id="5" xr3:uid="{C42785EA-49E5-0E44-986F-971951E8837C}" name="MINS" dataDxfId="26" totalsRowDxfId="27"/>
    <tableColumn id="6" xr3:uid="{4860D41E-6516-1842-8FD5-F0C66E46927D}" name="FGM" totalsRowDxfId="25"/>
    <tableColumn id="7" xr3:uid="{F208CBF9-991E-584E-A59C-03AC5EA29CB2}" name="FGA" totalsRowDxfId="24"/>
    <tableColumn id="8" xr3:uid="{178562B5-768C-8748-991D-EEC16ACE1582}" name="FG%" totalsRowDxfId="23"/>
    <tableColumn id="9" xr3:uid="{0CAD0178-884C-9E44-B2BD-9A94F46BA51F}" name="2FGM" totalsRowDxfId="22"/>
    <tableColumn id="10" xr3:uid="{CE881684-B49E-5146-A45E-6FEFAC96F3E7}" name="2FGA" totalsRowDxfId="21"/>
    <tableColumn id="11" xr3:uid="{5678CC6C-EAC6-8643-8C07-477A4C9FB3A4}" name="2FG%" totalsRowDxfId="20"/>
    <tableColumn id="12" xr3:uid="{077809DC-2257-6545-93D8-855747E6602F}" name="3FGM" totalsRowDxfId="19"/>
    <tableColumn id="13" xr3:uid="{DEE8898F-182E-B74B-B7EE-20D4E1EBA042}" name="3FGA" dataDxfId="17" totalsRowDxfId="18"/>
    <tableColumn id="14" xr3:uid="{18ADB5D6-047D-8C47-865C-73AD9CDFA001}" name="3FG%" dataDxfId="15" totalsRowDxfId="16" dataCellStyle="Percent"/>
    <tableColumn id="15" xr3:uid="{E62645E1-8CA2-FD42-9B2B-1251E7DD8689}" name="FTM" dataDxfId="13" totalsRowDxfId="14"/>
    <tableColumn id="16" xr3:uid="{09DF76BF-0D15-E845-A0BC-A48B10A8AB4E}" name="FTA" totalsRowDxfId="12"/>
    <tableColumn id="17" xr3:uid="{7D534125-5D62-004F-93C4-5D117B9180A6}" name="FT%" totalsRowDxfId="11"/>
    <tableColumn id="18" xr3:uid="{01E4259B-8BD0-3D44-8F40-EEA3416D030B}" name="Assists" totalsRowDxfId="10"/>
    <tableColumn id="19" xr3:uid="{3399E33A-216A-7C4D-99D5-266FFE401950}" name="Turnovers" totalsRowDxfId="9"/>
    <tableColumn id="20" xr3:uid="{46023A25-C791-9A41-8E24-1CAF8E2501AD}" name="Blocks" totalsRowDxfId="8"/>
    <tableColumn id="23" xr3:uid="{0ADC1BD7-D519-D94D-8745-A51E2641FF0E}" name="Rebounds" totalsRowDxfId="7"/>
    <tableColumn id="24" xr3:uid="{784A98D9-401D-6445-AF85-C3E277BC1F78}" name="Steals" totalsRowDxfId="6"/>
    <tableColumn id="28" xr3:uid="{2009CEC9-E672-5E47-BCF3-0E97FEC4F7AD}" name="Points Allowed" dataDxfId="4" totalsRowDxfId="5"/>
    <tableColumn id="29" xr3:uid="{F6F8B67B-EE26-694A-9EF9-C4D4C3A3AE02}" name="2FGM Allowed" dataDxfId="2" totalsRowDxfId="3"/>
    <tableColumn id="30" xr3:uid="{47103B74-8F43-FF47-8511-C72E41FB759E}" name="3FGM Allowed" dataDxfId="0" totalsRowDxfId="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7F5BC-317D-9341-A44A-39695B15BBCE}">
  <dimension ref="A1:MZ49"/>
  <sheetViews>
    <sheetView showGridLines="0" zoomScale="62" zoomScaleNormal="68" workbookViewId="0">
      <selection activeCell="AA31" sqref="AA31"/>
    </sheetView>
  </sheetViews>
  <sheetFormatPr defaultColWidth="11" defaultRowHeight="15.75" customHeight="1"/>
  <cols>
    <col min="1" max="1" width="15.125" style="2" bestFit="1" customWidth="1"/>
    <col min="2" max="2" width="22.625" style="2" bestFit="1" customWidth="1"/>
    <col min="3" max="3" width="22.5" style="2" bestFit="1" customWidth="1"/>
    <col min="4" max="4" width="19.5" style="2" bestFit="1" customWidth="1"/>
    <col min="5" max="5" width="15" style="2" customWidth="1"/>
    <col min="6" max="6" width="18.75" style="2" bestFit="1" customWidth="1"/>
    <col min="7" max="7" width="14.375" style="2" customWidth="1"/>
    <col min="8" max="8" width="14.5" style="2" customWidth="1"/>
    <col min="9" max="9" width="10.375" style="2" customWidth="1"/>
    <col min="10" max="10" width="11.5" style="2" bestFit="1" customWidth="1"/>
    <col min="11" max="11" width="12.875" style="2" bestFit="1" customWidth="1"/>
    <col min="12" max="12" width="11.5" style="2" bestFit="1" customWidth="1"/>
    <col min="13" max="13" width="10" style="2" customWidth="1"/>
    <col min="14" max="14" width="10.875" style="2" customWidth="1"/>
    <col min="15" max="15" width="11.5" style="2" bestFit="1" customWidth="1"/>
    <col min="16" max="16" width="12.5" style="2" customWidth="1"/>
    <col min="17" max="17" width="12.875" style="2" bestFit="1" customWidth="1"/>
    <col min="18" max="18" width="12.5" style="2" customWidth="1"/>
    <col min="19" max="19" width="13.5" style="2" bestFit="1" customWidth="1"/>
    <col min="20" max="20" width="17.125" style="2" bestFit="1" customWidth="1"/>
    <col min="21" max="21" width="18" style="2" bestFit="1" customWidth="1"/>
    <col min="22" max="22" width="18.625" style="2" bestFit="1" customWidth="1"/>
    <col min="23" max="23" width="19" style="2" bestFit="1" customWidth="1"/>
    <col min="24" max="24" width="17.375" style="2" bestFit="1" customWidth="1"/>
    <col min="25" max="25" width="18" style="2" bestFit="1" customWidth="1"/>
    <col min="26" max="26" width="18.375" style="2" customWidth="1"/>
    <col min="27" max="27" width="18.875" style="2" bestFit="1" customWidth="1"/>
    <col min="28" max="28" width="13" style="2" customWidth="1"/>
    <col min="29" max="30" width="13.875" style="2" bestFit="1" customWidth="1"/>
    <col min="31" max="31" width="13.5" style="2" bestFit="1" customWidth="1"/>
    <col min="32" max="32" width="17.875" style="2" bestFit="1" customWidth="1"/>
    <col min="33" max="33" width="18.625" style="2" bestFit="1" customWidth="1"/>
    <col min="34" max="34" width="18.375" style="2" bestFit="1" customWidth="1"/>
    <col min="35" max="35" width="15.5" style="2" bestFit="1" customWidth="1"/>
    <col min="36" max="36" width="14.375" style="2" bestFit="1" customWidth="1"/>
    <col min="37" max="37" width="15.375" style="2" bestFit="1" customWidth="1"/>
    <col min="38" max="38" width="14.625" style="2" bestFit="1" customWidth="1"/>
    <col min="39" max="39" width="13.625" style="2" bestFit="1" customWidth="1"/>
    <col min="40" max="40" width="13.375" style="2" bestFit="1" customWidth="1"/>
    <col min="41" max="41" width="13.625" style="2" bestFit="1" customWidth="1"/>
    <col min="42" max="42" width="12.625" style="2" bestFit="1" customWidth="1"/>
    <col min="43" max="43" width="14.375" style="2" bestFit="1" customWidth="1"/>
    <col min="44" max="45" width="13.625" style="2" bestFit="1" customWidth="1"/>
    <col min="46" max="46" width="14.375" style="2" bestFit="1" customWidth="1"/>
    <col min="47" max="47" width="13.625" style="2" bestFit="1" customWidth="1"/>
    <col min="48" max="16384" width="11" style="2"/>
  </cols>
  <sheetData>
    <row r="1" spans="1:364" ht="47.1">
      <c r="B1" s="71" t="s">
        <v>0</v>
      </c>
      <c r="F1" s="72" t="s">
        <v>1</v>
      </c>
      <c r="J1" s="1"/>
      <c r="K1" s="25" t="s">
        <v>2</v>
      </c>
    </row>
    <row r="2" spans="1:364" ht="17.100000000000001" thickBot="1"/>
    <row r="3" spans="1:364" ht="24">
      <c r="D3" s="73" t="s">
        <v>3</v>
      </c>
      <c r="E3" s="74" t="s">
        <v>4</v>
      </c>
      <c r="F3" s="74" t="s">
        <v>5</v>
      </c>
      <c r="G3" s="74" t="s">
        <v>6</v>
      </c>
      <c r="H3" s="75" t="s">
        <v>7</v>
      </c>
      <c r="J3" s="14"/>
      <c r="K3" s="15" t="s">
        <v>8</v>
      </c>
      <c r="L3" s="16"/>
      <c r="M3" s="17">
        <f>MAX(E15:E30)</f>
        <v>17</v>
      </c>
    </row>
    <row r="4" spans="1:364" ht="24">
      <c r="D4" s="76">
        <f>AVERAGE(E15:E30)</f>
        <v>10.333333333333334</v>
      </c>
      <c r="E4" s="69">
        <f>I31</f>
        <v>0.30952380952380953</v>
      </c>
      <c r="F4" s="69">
        <f>L31</f>
        <v>0.37037037037037035</v>
      </c>
      <c r="G4" s="69">
        <f>O31</f>
        <v>6.6666666666666666E-2</v>
      </c>
      <c r="H4" s="77">
        <f>AVERAGE(Table3[FT%])</f>
        <v>0.13333333333333333</v>
      </c>
      <c r="J4" s="18"/>
      <c r="K4" s="19" t="s">
        <v>9</v>
      </c>
      <c r="L4" s="19"/>
      <c r="M4" s="20">
        <f>MAX(I15:I29)</f>
        <v>0.44400000000000001</v>
      </c>
    </row>
    <row r="5" spans="1:364" ht="24">
      <c r="D5" s="78"/>
      <c r="E5" s="79"/>
      <c r="F5" s="79"/>
      <c r="G5" s="79"/>
      <c r="H5" s="80"/>
      <c r="J5" s="21"/>
      <c r="K5" s="19" t="s">
        <v>10</v>
      </c>
      <c r="L5" s="19"/>
      <c r="M5" s="22">
        <f>MAX(V15:V27)</f>
        <v>10</v>
      </c>
    </row>
    <row r="6" spans="1:364" ht="24">
      <c r="C6"/>
      <c r="D6" s="81" t="s">
        <v>11</v>
      </c>
      <c r="E6" s="82" t="s">
        <v>12</v>
      </c>
      <c r="F6" s="82" t="s">
        <v>13</v>
      </c>
      <c r="G6" s="82" t="s">
        <v>14</v>
      </c>
      <c r="H6" s="83" t="s">
        <v>15</v>
      </c>
      <c r="J6" s="18"/>
      <c r="K6" s="19" t="s">
        <v>16</v>
      </c>
      <c r="L6" s="19"/>
      <c r="M6" s="22">
        <f>MAX(W15:W27)</f>
        <v>3</v>
      </c>
    </row>
    <row r="7" spans="1:364" ht="24.95" thickBot="1">
      <c r="D7" s="76">
        <f>AVERAGE(V15:V29)</f>
        <v>8.3333333333333339</v>
      </c>
      <c r="E7" s="84">
        <f>AVERAGE(T15:T29)</f>
        <v>2.3333333333333335</v>
      </c>
      <c r="F7" s="84">
        <f>S31/T31</f>
        <v>2.7142857142857144</v>
      </c>
      <c r="G7" s="84">
        <f>AVERAGE(U15:U29)</f>
        <v>0.33333333333333331</v>
      </c>
      <c r="H7" s="85">
        <f>AVERAGE(V15:V28)</f>
        <v>8.3333333333333339</v>
      </c>
      <c r="J7" s="23"/>
      <c r="K7" s="24" t="s">
        <v>17</v>
      </c>
      <c r="L7" s="24"/>
      <c r="M7" s="48">
        <f>MAX(S15:S30)</f>
        <v>10</v>
      </c>
    </row>
    <row r="8" spans="1:364" ht="17.100000000000001" thickBot="1">
      <c r="D8" s="86"/>
      <c r="E8" s="87"/>
      <c r="F8" s="87"/>
      <c r="G8" s="87"/>
      <c r="H8" s="88"/>
    </row>
    <row r="14" spans="1:364" ht="20.100000000000001" customHeight="1">
      <c r="A14" s="37" t="s">
        <v>18</v>
      </c>
      <c r="B14" s="37" t="s">
        <v>19</v>
      </c>
      <c r="C14" s="38" t="s">
        <v>20</v>
      </c>
      <c r="D14" s="38" t="s">
        <v>21</v>
      </c>
      <c r="E14" s="39" t="s">
        <v>22</v>
      </c>
      <c r="F14" s="39" t="s">
        <v>23</v>
      </c>
      <c r="G14" s="39" t="s">
        <v>24</v>
      </c>
      <c r="H14" s="39" t="s">
        <v>25</v>
      </c>
      <c r="I14" s="39" t="s">
        <v>4</v>
      </c>
      <c r="J14" s="39" t="s">
        <v>26</v>
      </c>
      <c r="K14" s="39" t="s">
        <v>27</v>
      </c>
      <c r="L14" s="39" t="s">
        <v>5</v>
      </c>
      <c r="M14" s="39" t="s">
        <v>28</v>
      </c>
      <c r="N14" s="39" t="s">
        <v>29</v>
      </c>
      <c r="O14" s="39" t="s">
        <v>6</v>
      </c>
      <c r="P14" s="39" t="s">
        <v>30</v>
      </c>
      <c r="Q14" s="39" t="s">
        <v>31</v>
      </c>
      <c r="R14" s="39" t="s">
        <v>7</v>
      </c>
      <c r="S14" s="39" t="s">
        <v>32</v>
      </c>
      <c r="T14" s="39" t="s">
        <v>12</v>
      </c>
      <c r="U14" s="39" t="s">
        <v>14</v>
      </c>
      <c r="V14" s="39" t="s">
        <v>11</v>
      </c>
      <c r="W14" s="39" t="s">
        <v>15</v>
      </c>
      <c r="X14" s="38" t="s">
        <v>33</v>
      </c>
      <c r="Y14" s="38" t="s">
        <v>34</v>
      </c>
      <c r="Z14" s="38" t="s">
        <v>35</v>
      </c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7"/>
      <c r="CV14" s="107"/>
      <c r="CW14" s="107"/>
      <c r="CX14" s="107"/>
      <c r="CY14" s="107"/>
      <c r="CZ14" s="107"/>
      <c r="DA14" s="107"/>
      <c r="DB14" s="107"/>
      <c r="DC14" s="107"/>
      <c r="DD14" s="107"/>
      <c r="DE14" s="107"/>
      <c r="DF14" s="107"/>
      <c r="DG14" s="107"/>
      <c r="DH14" s="107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7"/>
      <c r="DX14" s="107"/>
      <c r="DY14" s="107"/>
      <c r="DZ14" s="107"/>
      <c r="EA14" s="107"/>
      <c r="EB14" s="107"/>
      <c r="EC14" s="107"/>
      <c r="ED14" s="107"/>
      <c r="EE14" s="107"/>
      <c r="EF14" s="107"/>
      <c r="EG14" s="107"/>
      <c r="EH14" s="107"/>
      <c r="EI14" s="107"/>
      <c r="EJ14" s="107"/>
      <c r="EK14" s="107"/>
      <c r="EL14" s="107"/>
      <c r="EM14" s="107"/>
      <c r="EN14" s="107"/>
      <c r="EO14" s="107"/>
      <c r="EP14" s="107"/>
      <c r="EQ14" s="107"/>
      <c r="ER14" s="107"/>
      <c r="ES14" s="107"/>
      <c r="ET14" s="107"/>
      <c r="EU14" s="107"/>
      <c r="EV14" s="107"/>
      <c r="EW14" s="107"/>
      <c r="EX14" s="107"/>
      <c r="EY14" s="107"/>
      <c r="EZ14" s="107"/>
      <c r="FA14" s="107"/>
      <c r="FB14" s="107"/>
      <c r="FC14" s="107"/>
      <c r="FD14" s="107"/>
      <c r="FE14" s="107"/>
      <c r="FF14" s="107"/>
      <c r="FG14" s="107"/>
      <c r="FH14" s="107"/>
      <c r="FI14" s="107"/>
      <c r="FJ14" s="107"/>
      <c r="FK14" s="107"/>
      <c r="FL14" s="107"/>
      <c r="FM14" s="107"/>
      <c r="FN14" s="107"/>
      <c r="FO14" s="107"/>
      <c r="FP14" s="107"/>
      <c r="FQ14" s="107"/>
      <c r="FR14" s="107"/>
      <c r="FS14" s="107"/>
      <c r="FT14" s="107"/>
      <c r="FU14" s="107"/>
      <c r="FV14" s="107"/>
      <c r="FW14" s="107"/>
      <c r="FX14" s="107"/>
      <c r="FY14" s="107"/>
      <c r="FZ14" s="107"/>
      <c r="GA14" s="107"/>
      <c r="GB14" s="107"/>
      <c r="GC14" s="107"/>
      <c r="GD14" s="107"/>
      <c r="GE14" s="107"/>
      <c r="GF14" s="107"/>
      <c r="GG14" s="107"/>
      <c r="GH14" s="107"/>
      <c r="GI14" s="107"/>
      <c r="GJ14" s="107"/>
      <c r="GK14" s="107"/>
      <c r="GL14" s="107"/>
      <c r="GM14" s="107"/>
      <c r="GN14" s="107"/>
      <c r="GO14" s="107"/>
      <c r="GP14" s="107"/>
      <c r="GQ14" s="107"/>
      <c r="GR14" s="107"/>
      <c r="GS14" s="107"/>
      <c r="GT14" s="107"/>
      <c r="GU14" s="107"/>
      <c r="GV14" s="107"/>
      <c r="GW14" s="107"/>
      <c r="GX14" s="107"/>
      <c r="GY14" s="107"/>
      <c r="GZ14" s="107"/>
      <c r="HA14" s="107"/>
      <c r="HB14" s="107"/>
      <c r="HC14" s="107"/>
      <c r="HD14" s="107"/>
      <c r="HE14" s="107"/>
      <c r="HF14" s="107"/>
      <c r="HG14" s="107"/>
      <c r="HH14" s="107"/>
      <c r="HI14" s="107"/>
      <c r="HJ14" s="107"/>
      <c r="HK14" s="107"/>
      <c r="HL14" s="107"/>
      <c r="HM14" s="107"/>
      <c r="HN14" s="107"/>
      <c r="HO14" s="107"/>
      <c r="HP14" s="107"/>
      <c r="HQ14" s="107"/>
      <c r="HR14" s="107"/>
      <c r="HS14" s="107"/>
      <c r="HT14" s="107"/>
      <c r="HU14" s="107"/>
      <c r="HV14" s="107"/>
      <c r="HW14" s="107"/>
      <c r="HX14" s="107"/>
      <c r="HY14" s="107"/>
      <c r="HZ14" s="107"/>
      <c r="IA14" s="107"/>
      <c r="IB14" s="107"/>
      <c r="IC14" s="107"/>
      <c r="ID14" s="107"/>
      <c r="IE14" s="107"/>
      <c r="IF14" s="107"/>
      <c r="IG14" s="107"/>
      <c r="IH14" s="107"/>
      <c r="II14" s="107"/>
      <c r="IJ14" s="107"/>
      <c r="IK14" s="107"/>
      <c r="IL14" s="107"/>
      <c r="IM14" s="107"/>
      <c r="IN14" s="107"/>
      <c r="IO14" s="107"/>
      <c r="IP14" s="107"/>
      <c r="IQ14" s="107"/>
      <c r="IR14" s="107"/>
      <c r="IS14" s="107"/>
      <c r="IT14" s="107"/>
      <c r="IU14" s="107"/>
      <c r="IV14" s="107"/>
      <c r="IW14" s="107"/>
      <c r="IX14" s="107"/>
      <c r="IY14" s="107"/>
      <c r="IZ14" s="107"/>
      <c r="JA14" s="107"/>
      <c r="JB14" s="107"/>
      <c r="JC14" s="107"/>
      <c r="JD14" s="107"/>
      <c r="JE14" s="107"/>
      <c r="JF14" s="107"/>
      <c r="JG14" s="107"/>
      <c r="JH14" s="107"/>
      <c r="JI14" s="107"/>
      <c r="JJ14" s="107"/>
      <c r="JK14" s="107"/>
      <c r="JL14" s="107"/>
      <c r="JM14" s="107"/>
      <c r="JN14" s="107"/>
      <c r="JO14" s="107"/>
      <c r="JP14" s="107"/>
      <c r="JQ14" s="107"/>
      <c r="JR14" s="107"/>
      <c r="JS14" s="107"/>
      <c r="JT14" s="107"/>
      <c r="JU14" s="107"/>
      <c r="JV14" s="107"/>
      <c r="JW14" s="107"/>
      <c r="JX14" s="107"/>
      <c r="JY14" s="107"/>
      <c r="JZ14" s="107"/>
      <c r="KA14" s="107"/>
      <c r="KB14" s="107"/>
      <c r="KC14" s="107"/>
      <c r="KD14" s="107"/>
      <c r="KE14" s="107"/>
      <c r="KF14" s="107"/>
      <c r="KG14" s="107"/>
      <c r="KH14" s="107"/>
      <c r="KI14" s="107"/>
      <c r="KJ14" s="107"/>
      <c r="KK14" s="107"/>
      <c r="KL14" s="107"/>
      <c r="KM14" s="107"/>
      <c r="KN14" s="107"/>
      <c r="KO14" s="107"/>
      <c r="KP14" s="107"/>
      <c r="KQ14" s="107"/>
      <c r="KR14" s="107"/>
      <c r="KS14" s="107"/>
      <c r="KT14" s="107"/>
      <c r="KU14" s="107"/>
      <c r="KV14" s="107"/>
      <c r="KW14" s="107"/>
      <c r="KX14" s="107"/>
      <c r="KY14" s="107"/>
      <c r="KZ14" s="107"/>
      <c r="LA14" s="107"/>
      <c r="LB14" s="107"/>
      <c r="LC14" s="107"/>
      <c r="LD14" s="107"/>
      <c r="LE14" s="107"/>
      <c r="LF14" s="107"/>
      <c r="LG14" s="107"/>
      <c r="LH14" s="107"/>
      <c r="LI14" s="107"/>
      <c r="LJ14" s="107"/>
      <c r="LK14" s="107"/>
      <c r="LL14" s="107"/>
      <c r="LM14" s="107"/>
      <c r="LN14" s="107"/>
      <c r="LO14" s="107"/>
      <c r="LP14" s="107"/>
      <c r="LQ14" s="107"/>
      <c r="LR14" s="107"/>
      <c r="LS14" s="107"/>
      <c r="LT14" s="107"/>
      <c r="LU14" s="107"/>
      <c r="LV14" s="107"/>
      <c r="LW14" s="107"/>
      <c r="LX14" s="107"/>
      <c r="LY14" s="107"/>
      <c r="LZ14" s="107"/>
      <c r="MA14" s="107"/>
      <c r="MB14" s="107"/>
      <c r="MC14" s="107"/>
      <c r="MD14" s="107"/>
      <c r="ME14" s="107"/>
      <c r="MF14" s="107"/>
      <c r="MG14" s="107"/>
      <c r="MH14" s="107"/>
      <c r="MI14" s="107"/>
      <c r="MJ14" s="107"/>
      <c r="MK14" s="107"/>
      <c r="ML14" s="107"/>
      <c r="MM14" s="107"/>
      <c r="MN14" s="107"/>
      <c r="MO14" s="107"/>
      <c r="MP14" s="107"/>
      <c r="MQ14" s="107"/>
      <c r="MR14" s="107"/>
      <c r="MS14" s="107"/>
      <c r="MT14" s="107"/>
      <c r="MU14" s="107"/>
      <c r="MV14" s="107"/>
      <c r="MW14" s="107"/>
      <c r="MX14" s="107"/>
      <c r="MY14" s="107"/>
      <c r="MZ14" s="107"/>
    </row>
    <row r="15" spans="1:364" s="10" customFormat="1" ht="47.25">
      <c r="A15" s="27">
        <v>45082</v>
      </c>
      <c r="B15" s="92" t="s">
        <v>36</v>
      </c>
      <c r="C15" s="93" t="s">
        <v>37</v>
      </c>
      <c r="D15" s="94" t="s">
        <v>38</v>
      </c>
      <c r="E15" s="28">
        <v>9</v>
      </c>
      <c r="F15" s="112">
        <v>0.88750000000000007</v>
      </c>
      <c r="G15" s="28">
        <v>4</v>
      </c>
      <c r="H15" s="30">
        <v>9</v>
      </c>
      <c r="I15" s="31">
        <v>0.44400000000000001</v>
      </c>
      <c r="J15" s="30">
        <v>3</v>
      </c>
      <c r="K15" s="30">
        <v>6</v>
      </c>
      <c r="L15" s="31">
        <v>0.5</v>
      </c>
      <c r="M15" s="28">
        <v>1</v>
      </c>
      <c r="N15" s="30">
        <v>3</v>
      </c>
      <c r="O15" s="32">
        <v>0.33300000000000002</v>
      </c>
      <c r="P15" s="30">
        <v>0</v>
      </c>
      <c r="Q15" s="30">
        <v>4</v>
      </c>
      <c r="R15" s="31">
        <v>0</v>
      </c>
      <c r="S15" s="30">
        <v>4</v>
      </c>
      <c r="T15" s="30">
        <v>5</v>
      </c>
      <c r="U15" s="33">
        <v>1</v>
      </c>
      <c r="V15" s="33">
        <v>6</v>
      </c>
      <c r="W15" s="36">
        <v>0</v>
      </c>
      <c r="X15" s="91">
        <v>9</v>
      </c>
      <c r="Y15" s="91">
        <v>4</v>
      </c>
      <c r="Z15" s="91">
        <v>0</v>
      </c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26"/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6"/>
      <c r="KR15" s="26"/>
      <c r="KS15" s="26"/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26"/>
      <c r="LR15" s="26"/>
      <c r="LS15" s="26"/>
      <c r="LT15" s="26"/>
      <c r="LU15" s="26"/>
      <c r="LV15" s="26"/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</row>
    <row r="16" spans="1:364" s="10" customFormat="1" ht="47.25">
      <c r="A16" s="27">
        <v>45083</v>
      </c>
      <c r="B16" s="92" t="s">
        <v>39</v>
      </c>
      <c r="C16" s="95" t="s">
        <v>40</v>
      </c>
      <c r="D16" s="94" t="s">
        <v>38</v>
      </c>
      <c r="E16" s="30">
        <v>17</v>
      </c>
      <c r="F16" s="112">
        <v>1.2743055555555556</v>
      </c>
      <c r="G16" s="30">
        <v>7</v>
      </c>
      <c r="H16" s="30">
        <v>21</v>
      </c>
      <c r="I16" s="31">
        <v>0.33300000000000002</v>
      </c>
      <c r="J16" s="30">
        <v>6</v>
      </c>
      <c r="K16" s="30">
        <v>14</v>
      </c>
      <c r="L16" s="31">
        <v>0.42899999999999999</v>
      </c>
      <c r="M16" s="29" t="s">
        <v>41</v>
      </c>
      <c r="N16" s="30">
        <v>7</v>
      </c>
      <c r="O16" s="32">
        <v>0.14299999999999999</v>
      </c>
      <c r="P16" s="30">
        <v>2</v>
      </c>
      <c r="Q16" s="30">
        <v>5</v>
      </c>
      <c r="R16" s="31">
        <v>0.4</v>
      </c>
      <c r="S16" s="30">
        <v>5</v>
      </c>
      <c r="T16" s="30">
        <v>2</v>
      </c>
      <c r="U16" s="30">
        <v>0</v>
      </c>
      <c r="V16" s="30">
        <v>10</v>
      </c>
      <c r="W16" s="35">
        <v>3</v>
      </c>
      <c r="X16" s="91">
        <v>3</v>
      </c>
      <c r="Y16" s="91">
        <v>0</v>
      </c>
      <c r="Z16" s="91">
        <v>1</v>
      </c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26"/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26"/>
      <c r="KO16" s="26"/>
      <c r="KP16" s="26"/>
      <c r="KQ16" s="26"/>
      <c r="KR16" s="26"/>
      <c r="KS16" s="26"/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26"/>
      <c r="LR16" s="26"/>
      <c r="LS16" s="26"/>
      <c r="LT16" s="26"/>
      <c r="LU16" s="26"/>
      <c r="LV16" s="26"/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6"/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</row>
    <row r="17" spans="1:364" s="10" customFormat="1" ht="47.25">
      <c r="A17" s="27">
        <v>45084</v>
      </c>
      <c r="B17" s="92" t="s">
        <v>42</v>
      </c>
      <c r="C17" s="95" t="s">
        <v>43</v>
      </c>
      <c r="D17" s="94" t="s">
        <v>38</v>
      </c>
      <c r="E17" s="30">
        <v>5</v>
      </c>
      <c r="F17" s="112">
        <v>1.3340277777777778</v>
      </c>
      <c r="G17" s="30">
        <v>2</v>
      </c>
      <c r="H17" s="30">
        <v>12</v>
      </c>
      <c r="I17" s="31">
        <v>0.16700000000000001</v>
      </c>
      <c r="J17" s="30">
        <v>1</v>
      </c>
      <c r="K17" s="30">
        <v>7</v>
      </c>
      <c r="L17" s="31">
        <v>0.14299999999999999</v>
      </c>
      <c r="M17" s="29" t="s">
        <v>41</v>
      </c>
      <c r="N17" s="30">
        <v>5</v>
      </c>
      <c r="O17" s="32">
        <v>0.2</v>
      </c>
      <c r="P17" s="30">
        <v>0</v>
      </c>
      <c r="Q17" s="30">
        <v>2</v>
      </c>
      <c r="R17" s="31">
        <v>0</v>
      </c>
      <c r="S17" s="30">
        <v>10</v>
      </c>
      <c r="T17" s="30">
        <v>0</v>
      </c>
      <c r="U17" s="30">
        <v>0</v>
      </c>
      <c r="V17" s="30">
        <v>9</v>
      </c>
      <c r="W17" s="35">
        <v>3</v>
      </c>
      <c r="X17" s="91">
        <v>6</v>
      </c>
      <c r="Y17" s="91">
        <v>2</v>
      </c>
      <c r="Z17" s="91">
        <v>0</v>
      </c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26"/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6"/>
      <c r="KO17" s="26"/>
      <c r="KP17" s="26"/>
      <c r="KQ17" s="26"/>
      <c r="KR17" s="26"/>
      <c r="KS17" s="26"/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26"/>
      <c r="LR17" s="26"/>
      <c r="LS17" s="26"/>
      <c r="LT17" s="26"/>
      <c r="LU17" s="26"/>
      <c r="LV17" s="26"/>
      <c r="LW17" s="26"/>
      <c r="LX17" s="26"/>
      <c r="LY17" s="26"/>
      <c r="LZ17" s="26"/>
      <c r="MA17" s="26"/>
      <c r="MB17" s="26"/>
      <c r="MC17" s="26"/>
      <c r="MD17" s="26"/>
      <c r="ME17" s="26"/>
      <c r="MF17" s="26"/>
      <c r="MG17" s="26"/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</row>
    <row r="18" spans="1:364" s="10" customFormat="1" ht="23.25">
      <c r="A18" s="27"/>
      <c r="B18" s="89"/>
      <c r="C18" s="61"/>
      <c r="D18" s="62"/>
      <c r="E18" s="30"/>
      <c r="F18" s="112"/>
      <c r="G18" s="30"/>
      <c r="H18" s="30"/>
      <c r="I18" s="31"/>
      <c r="J18" s="30"/>
      <c r="K18" s="30"/>
      <c r="L18" s="31"/>
      <c r="M18" s="28"/>
      <c r="N18" s="30"/>
      <c r="O18" s="31"/>
      <c r="P18" s="30"/>
      <c r="Q18" s="30"/>
      <c r="R18" s="31"/>
      <c r="S18" s="30"/>
      <c r="T18" s="30"/>
      <c r="U18" s="30"/>
      <c r="V18" s="33"/>
      <c r="W18" s="36"/>
      <c r="X18" s="28"/>
      <c r="Y18" s="67"/>
      <c r="Z18" s="67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26"/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26"/>
      <c r="KO18" s="26"/>
      <c r="KP18" s="26"/>
      <c r="KQ18" s="26"/>
      <c r="KR18" s="26"/>
      <c r="KS18" s="26"/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26"/>
      <c r="LR18" s="26"/>
      <c r="LS18" s="26"/>
      <c r="LT18" s="26"/>
      <c r="LU18" s="26"/>
      <c r="LV18" s="26"/>
      <c r="LW18" s="26"/>
      <c r="LX18" s="26"/>
      <c r="LY18" s="26"/>
      <c r="LZ18" s="26"/>
      <c r="MA18" s="26"/>
      <c r="MB18" s="26"/>
      <c r="MC18" s="26"/>
      <c r="MD18" s="26"/>
      <c r="ME18" s="26"/>
      <c r="MF18" s="26"/>
      <c r="MG18" s="26"/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</row>
    <row r="19" spans="1:364" s="13" customFormat="1" ht="24">
      <c r="A19" s="27"/>
      <c r="B19" s="90"/>
      <c r="C19" s="63"/>
      <c r="D19" s="63"/>
      <c r="E19" s="28"/>
      <c r="F19" s="112"/>
      <c r="G19" s="30"/>
      <c r="H19" s="30"/>
      <c r="I19" s="31"/>
      <c r="J19" s="30"/>
      <c r="K19" s="41"/>
      <c r="L19" s="31"/>
      <c r="M19" s="30"/>
      <c r="N19" s="41"/>
      <c r="O19" s="31"/>
      <c r="P19" s="30"/>
      <c r="Q19" s="28"/>
      <c r="R19" s="31"/>
      <c r="S19" s="30"/>
      <c r="T19" s="30"/>
      <c r="U19" s="30"/>
      <c r="V19" s="30"/>
      <c r="W19" s="6"/>
      <c r="X19" s="4"/>
      <c r="Y19" s="4"/>
      <c r="Z19" s="5"/>
      <c r="AA19" s="42"/>
      <c r="AB19" s="9"/>
      <c r="AC19" s="10"/>
      <c r="AD19" s="10"/>
      <c r="AE19" s="11"/>
      <c r="AF19" s="10"/>
      <c r="AG19" s="10"/>
      <c r="AH19" s="11"/>
      <c r="AI19" s="43"/>
      <c r="AJ19" s="43"/>
      <c r="AK19" s="11"/>
      <c r="AL19" s="34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26"/>
      <c r="KS19" s="26"/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26"/>
      <c r="LR19" s="26"/>
      <c r="LS19" s="26"/>
      <c r="LT19" s="26"/>
      <c r="LU19" s="26"/>
      <c r="LV19" s="26"/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</row>
    <row r="20" spans="1:364" s="10" customFormat="1" ht="24">
      <c r="A20" s="27"/>
      <c r="B20" s="90"/>
      <c r="C20" s="63"/>
      <c r="D20" s="64"/>
      <c r="E20" s="28"/>
      <c r="F20" s="112"/>
      <c r="G20" s="30"/>
      <c r="H20" s="30"/>
      <c r="I20" s="31"/>
      <c r="J20" s="30"/>
      <c r="K20" s="41"/>
      <c r="L20" s="31"/>
      <c r="M20" s="30"/>
      <c r="N20" s="41"/>
      <c r="O20" s="31"/>
      <c r="P20" s="30"/>
      <c r="Q20" s="28"/>
      <c r="R20" s="40"/>
      <c r="S20" s="30"/>
      <c r="T20" s="30"/>
      <c r="U20" s="30"/>
      <c r="V20" s="30"/>
      <c r="W20" s="6"/>
      <c r="X20" s="4"/>
      <c r="Y20" s="4"/>
      <c r="Z20" s="5"/>
      <c r="AA20" s="42"/>
      <c r="AB20" s="9"/>
      <c r="AE20" s="11"/>
      <c r="AH20" s="11"/>
      <c r="AI20" s="43"/>
      <c r="AJ20" s="43"/>
      <c r="AK20" s="11"/>
      <c r="AL20" s="34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26"/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26"/>
      <c r="KO20" s="26"/>
      <c r="KP20" s="26"/>
      <c r="KQ20" s="26"/>
      <c r="KR20" s="26"/>
      <c r="KS20" s="26"/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26"/>
      <c r="LR20" s="26"/>
      <c r="LS20" s="26"/>
      <c r="LT20" s="26"/>
      <c r="LU20" s="26"/>
      <c r="LV20" s="26"/>
      <c r="LW20" s="26"/>
      <c r="LX20" s="26"/>
      <c r="LY20" s="26"/>
      <c r="LZ20" s="26"/>
      <c r="MA20" s="26"/>
      <c r="MB20" s="26"/>
      <c r="MC20" s="26"/>
      <c r="MD20" s="26"/>
      <c r="ME20" s="26"/>
      <c r="MF20" s="26"/>
      <c r="MG20" s="26"/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</row>
    <row r="21" spans="1:364" s="13" customFormat="1" ht="24">
      <c r="A21" s="27"/>
      <c r="B21" s="90"/>
      <c r="C21" s="63"/>
      <c r="D21" s="64"/>
      <c r="E21" s="28"/>
      <c r="F21" s="112"/>
      <c r="G21" s="30"/>
      <c r="H21" s="30"/>
      <c r="I21" s="31"/>
      <c r="J21" s="30"/>
      <c r="K21" s="41"/>
      <c r="L21" s="31"/>
      <c r="M21" s="30"/>
      <c r="N21" s="41"/>
      <c r="O21" s="31"/>
      <c r="P21" s="30"/>
      <c r="Q21" s="28"/>
      <c r="R21" s="40"/>
      <c r="S21" s="30"/>
      <c r="T21" s="30"/>
      <c r="U21" s="30"/>
      <c r="V21" s="30"/>
      <c r="W21" s="6"/>
      <c r="X21" s="4"/>
      <c r="Y21" s="4"/>
      <c r="Z21" s="5"/>
      <c r="AA21" s="42"/>
      <c r="AB21" s="9"/>
      <c r="AC21" s="10"/>
      <c r="AD21" s="10"/>
      <c r="AE21" s="11"/>
      <c r="AF21" s="10"/>
      <c r="AG21" s="10"/>
      <c r="AH21" s="11"/>
      <c r="AI21" s="43"/>
      <c r="AJ21" s="43"/>
      <c r="AK21" s="11"/>
      <c r="AL21" s="34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26"/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26"/>
      <c r="KO21" s="26"/>
      <c r="KP21" s="26"/>
      <c r="KQ21" s="26"/>
      <c r="KR21" s="26"/>
      <c r="KS21" s="26"/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26"/>
      <c r="LR21" s="26"/>
      <c r="LS21" s="26"/>
      <c r="LT21" s="26"/>
      <c r="LU21" s="26"/>
      <c r="LV21" s="26"/>
      <c r="LW21" s="26"/>
      <c r="LX21" s="26"/>
      <c r="LY21" s="26"/>
      <c r="LZ21" s="26"/>
      <c r="MA21" s="26"/>
      <c r="MB21" s="26"/>
      <c r="MC21" s="26"/>
      <c r="MD21" s="26"/>
      <c r="ME21" s="26"/>
      <c r="MF21" s="26"/>
      <c r="MG21" s="26"/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</row>
    <row r="22" spans="1:364" s="13" customFormat="1" ht="24">
      <c r="A22" s="27"/>
      <c r="B22" s="90"/>
      <c r="C22" s="63"/>
      <c r="D22" s="64"/>
      <c r="E22" s="28"/>
      <c r="F22" s="112"/>
      <c r="G22" s="30"/>
      <c r="H22" s="30"/>
      <c r="I22" s="31"/>
      <c r="J22" s="30"/>
      <c r="K22" s="41"/>
      <c r="L22" s="31"/>
      <c r="M22" s="30"/>
      <c r="N22" s="41"/>
      <c r="O22" s="31"/>
      <c r="P22" s="30"/>
      <c r="Q22" s="28"/>
      <c r="R22" s="40"/>
      <c r="S22" s="30"/>
      <c r="T22" s="30"/>
      <c r="U22" s="30"/>
      <c r="V22" s="30"/>
      <c r="W22" s="6"/>
      <c r="X22" s="4"/>
      <c r="Y22" s="4"/>
      <c r="Z22" s="5"/>
      <c r="AA22" s="42"/>
      <c r="AB22" s="9"/>
      <c r="AC22" s="10"/>
      <c r="AD22" s="10"/>
      <c r="AE22" s="11"/>
      <c r="AF22" s="10"/>
      <c r="AG22" s="10"/>
      <c r="AH22" s="11"/>
      <c r="AI22" s="43"/>
      <c r="AJ22" s="43"/>
      <c r="AK22" s="11"/>
      <c r="AL22" s="34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26"/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26"/>
      <c r="KM22" s="26"/>
      <c r="KN22" s="26"/>
      <c r="KO22" s="26"/>
      <c r="KP22" s="26"/>
      <c r="KQ22" s="26"/>
      <c r="KR22" s="26"/>
      <c r="KS22" s="26"/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26"/>
      <c r="LR22" s="26"/>
      <c r="LS22" s="26"/>
      <c r="LT22" s="26"/>
      <c r="LU22" s="26"/>
      <c r="LV22" s="26"/>
      <c r="LW22" s="26"/>
      <c r="LX22" s="26"/>
      <c r="LY22" s="26"/>
      <c r="LZ22" s="26"/>
      <c r="MA22" s="26"/>
      <c r="MB22" s="26"/>
      <c r="MC22" s="26"/>
      <c r="MD22" s="26"/>
      <c r="ME22" s="26"/>
      <c r="MF22" s="26"/>
      <c r="MG22" s="26"/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</row>
    <row r="23" spans="1:364" s="10" customFormat="1" ht="24.95" customHeight="1">
      <c r="A23" s="27"/>
      <c r="B23" s="90"/>
      <c r="C23" s="65"/>
      <c r="D23" s="66"/>
      <c r="E23" s="28"/>
      <c r="F23" s="112"/>
      <c r="G23" s="30"/>
      <c r="H23" s="30"/>
      <c r="I23" s="31"/>
      <c r="J23" s="30"/>
      <c r="K23" s="30"/>
      <c r="L23" s="31"/>
      <c r="M23" s="30"/>
      <c r="N23" s="47"/>
      <c r="O23" s="31"/>
      <c r="P23" s="30"/>
      <c r="Q23" s="30"/>
      <c r="R23" s="40"/>
      <c r="S23" s="30"/>
      <c r="T23" s="30"/>
      <c r="U23" s="30"/>
      <c r="V23" s="30"/>
      <c r="W23" s="6"/>
      <c r="X23" s="5"/>
      <c r="Y23" s="5"/>
      <c r="Z23" s="5"/>
      <c r="AA23" s="42"/>
      <c r="AB23" s="42"/>
      <c r="AE23" s="11"/>
      <c r="AH23" s="11"/>
      <c r="AI23" s="43"/>
      <c r="AJ23" s="43"/>
      <c r="AK23" s="11"/>
      <c r="AL23" s="34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26"/>
      <c r="JR23" s="26"/>
      <c r="JS23" s="26"/>
      <c r="JT23" s="26"/>
      <c r="JU23" s="26"/>
      <c r="JV23" s="26"/>
      <c r="JW23" s="26"/>
      <c r="JX23" s="26"/>
      <c r="JY23" s="26"/>
      <c r="JZ23" s="26"/>
      <c r="KA23" s="26"/>
      <c r="KB23" s="26"/>
      <c r="KC23" s="26"/>
      <c r="KD23" s="26"/>
      <c r="KE23" s="26"/>
      <c r="KF23" s="26"/>
      <c r="KG23" s="26"/>
      <c r="KH23" s="26"/>
      <c r="KI23" s="26"/>
      <c r="KJ23" s="26"/>
      <c r="KK23" s="26"/>
      <c r="KL23" s="26"/>
      <c r="KM23" s="26"/>
      <c r="KN23" s="26"/>
      <c r="KO23" s="26"/>
      <c r="KP23" s="26"/>
      <c r="KQ23" s="26"/>
      <c r="KR23" s="26"/>
      <c r="KS23" s="26"/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26"/>
      <c r="LR23" s="26"/>
      <c r="LS23" s="26"/>
      <c r="LT23" s="26"/>
      <c r="LU23" s="26"/>
      <c r="LV23" s="26"/>
      <c r="LW23" s="26"/>
      <c r="LX23" s="26"/>
      <c r="LY23" s="26"/>
      <c r="LZ23" s="26"/>
      <c r="MA23" s="26"/>
      <c r="MB23" s="26"/>
      <c r="MC23" s="26"/>
      <c r="MD23" s="26"/>
      <c r="ME23" s="26"/>
      <c r="MF23" s="26"/>
      <c r="MG23" s="26"/>
      <c r="MH23" s="26"/>
      <c r="MI23" s="26"/>
      <c r="MJ23" s="26"/>
      <c r="MK23" s="26"/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</row>
    <row r="24" spans="1:364" s="13" customFormat="1" ht="24">
      <c r="A24" s="27"/>
      <c r="B24" s="90"/>
      <c r="C24" s="65"/>
      <c r="D24" s="66"/>
      <c r="E24" s="28"/>
      <c r="F24" s="112"/>
      <c r="G24" s="30"/>
      <c r="H24" s="30"/>
      <c r="I24" s="31"/>
      <c r="J24" s="30"/>
      <c r="K24" s="30"/>
      <c r="L24" s="31"/>
      <c r="M24" s="30"/>
      <c r="N24" s="47"/>
      <c r="O24" s="31"/>
      <c r="P24" s="30"/>
      <c r="Q24" s="30"/>
      <c r="R24" s="40"/>
      <c r="S24" s="30"/>
      <c r="T24" s="30"/>
      <c r="U24" s="30"/>
      <c r="V24" s="30"/>
      <c r="W24" s="6"/>
      <c r="X24" s="5"/>
      <c r="Y24" s="5"/>
      <c r="Z24" s="70"/>
      <c r="AA24" s="42"/>
      <c r="AB24" s="45"/>
      <c r="AC24" s="10"/>
      <c r="AD24" s="10"/>
      <c r="AE24" s="11"/>
      <c r="AF24" s="10"/>
      <c r="AG24" s="10"/>
      <c r="AH24" s="11"/>
      <c r="AI24" s="46"/>
      <c r="AJ24" s="10"/>
      <c r="AK24" s="11"/>
      <c r="AL24" s="34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  <c r="IW24" s="26"/>
      <c r="IX24" s="26"/>
      <c r="IY24" s="26"/>
      <c r="IZ24" s="26"/>
      <c r="JA24" s="26"/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26"/>
      <c r="JR24" s="26"/>
      <c r="JS24" s="26"/>
      <c r="JT24" s="26"/>
      <c r="JU24" s="26"/>
      <c r="JV24" s="26"/>
      <c r="JW24" s="26"/>
      <c r="JX24" s="26"/>
      <c r="JY24" s="26"/>
      <c r="JZ24" s="26"/>
      <c r="KA24" s="26"/>
      <c r="KB24" s="26"/>
      <c r="KC24" s="26"/>
      <c r="KD24" s="26"/>
      <c r="KE24" s="26"/>
      <c r="KF24" s="26"/>
      <c r="KG24" s="26"/>
      <c r="KH24" s="26"/>
      <c r="KI24" s="26"/>
      <c r="KJ24" s="26"/>
      <c r="KK24" s="26"/>
      <c r="KL24" s="26"/>
      <c r="KM24" s="26"/>
      <c r="KN24" s="26"/>
      <c r="KO24" s="26"/>
      <c r="KP24" s="26"/>
      <c r="KQ24" s="26"/>
      <c r="KR24" s="26"/>
      <c r="KS24" s="26"/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26"/>
      <c r="LJ24" s="26"/>
      <c r="LK24" s="26"/>
      <c r="LL24" s="26"/>
      <c r="LM24" s="26"/>
      <c r="LN24" s="26"/>
      <c r="LO24" s="26"/>
      <c r="LP24" s="26"/>
      <c r="LQ24" s="26"/>
      <c r="LR24" s="26"/>
      <c r="LS24" s="26"/>
      <c r="LT24" s="26"/>
      <c r="LU24" s="26"/>
      <c r="LV24" s="26"/>
      <c r="LW24" s="26"/>
      <c r="LX24" s="26"/>
      <c r="LY24" s="26"/>
      <c r="LZ24" s="26"/>
      <c r="MA24" s="26"/>
      <c r="MB24" s="26"/>
      <c r="MC24" s="26"/>
      <c r="MD24" s="26"/>
      <c r="ME24" s="26"/>
      <c r="MF24" s="26"/>
      <c r="MG24" s="26"/>
      <c r="MH24" s="26"/>
      <c r="MI24" s="26"/>
      <c r="MJ24" s="26"/>
      <c r="MK24" s="26"/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</row>
    <row r="25" spans="1:364" s="10" customFormat="1" ht="24">
      <c r="A25" s="27"/>
      <c r="B25" s="90"/>
      <c r="C25" s="65"/>
      <c r="D25" s="66"/>
      <c r="E25" s="28"/>
      <c r="F25" s="112"/>
      <c r="G25" s="30"/>
      <c r="H25" s="30"/>
      <c r="I25" s="31"/>
      <c r="J25" s="30"/>
      <c r="K25" s="30"/>
      <c r="L25" s="31"/>
      <c r="M25" s="30"/>
      <c r="N25" s="47"/>
      <c r="O25" s="31"/>
      <c r="P25" s="30"/>
      <c r="Q25" s="30"/>
      <c r="R25" s="40"/>
      <c r="S25" s="30"/>
      <c r="T25" s="30"/>
      <c r="U25" s="30"/>
      <c r="V25" s="30"/>
      <c r="W25" s="6"/>
      <c r="X25" s="5"/>
      <c r="Y25" s="5"/>
      <c r="Z25" s="70"/>
      <c r="AA25" s="42"/>
      <c r="AB25" s="45"/>
      <c r="AE25" s="11"/>
      <c r="AH25" s="11"/>
      <c r="AI25" s="46"/>
      <c r="AK25" s="11"/>
      <c r="AL25" s="34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  <c r="IW25" s="26"/>
      <c r="IX25" s="26"/>
      <c r="IY25" s="26"/>
      <c r="IZ25" s="26"/>
      <c r="JA25" s="26"/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26"/>
      <c r="JR25" s="26"/>
      <c r="JS25" s="26"/>
      <c r="JT25" s="26"/>
      <c r="JU25" s="26"/>
      <c r="JV25" s="26"/>
      <c r="JW25" s="26"/>
      <c r="JX25" s="26"/>
      <c r="JY25" s="26"/>
      <c r="JZ25" s="26"/>
      <c r="KA25" s="26"/>
      <c r="KB25" s="26"/>
      <c r="KC25" s="26"/>
      <c r="KD25" s="26"/>
      <c r="KE25" s="26"/>
      <c r="KF25" s="26"/>
      <c r="KG25" s="26"/>
      <c r="KH25" s="26"/>
      <c r="KI25" s="26"/>
      <c r="KJ25" s="26"/>
      <c r="KK25" s="26"/>
      <c r="KL25" s="26"/>
      <c r="KM25" s="26"/>
      <c r="KN25" s="26"/>
      <c r="KO25" s="26"/>
      <c r="KP25" s="26"/>
      <c r="KQ25" s="26"/>
      <c r="KR25" s="26"/>
      <c r="KS25" s="26"/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26"/>
      <c r="LJ25" s="26"/>
      <c r="LK25" s="26"/>
      <c r="LL25" s="26"/>
      <c r="LM25" s="26"/>
      <c r="LN25" s="26"/>
      <c r="LO25" s="26"/>
      <c r="LP25" s="26"/>
      <c r="LQ25" s="26"/>
      <c r="LR25" s="26"/>
      <c r="LS25" s="26"/>
      <c r="LT25" s="26"/>
      <c r="LU25" s="26"/>
      <c r="LV25" s="26"/>
      <c r="LW25" s="26"/>
      <c r="LX25" s="26"/>
      <c r="LY25" s="26"/>
      <c r="LZ25" s="26"/>
      <c r="MA25" s="26"/>
      <c r="MB25" s="26"/>
      <c r="MC25" s="26"/>
      <c r="MD25" s="26"/>
      <c r="ME25" s="26"/>
      <c r="MF25" s="26"/>
      <c r="MG25" s="26"/>
      <c r="MH25" s="26"/>
      <c r="MI25" s="26"/>
      <c r="MJ25" s="26"/>
      <c r="MK25" s="26"/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</row>
    <row r="26" spans="1:364" s="13" customFormat="1" ht="24">
      <c r="A26" s="27"/>
      <c r="B26" s="90"/>
      <c r="C26" s="65"/>
      <c r="D26" s="66"/>
      <c r="E26" s="28"/>
      <c r="F26" s="112"/>
      <c r="G26" s="30"/>
      <c r="H26" s="28"/>
      <c r="I26" s="31"/>
      <c r="J26" s="30"/>
      <c r="K26" s="28"/>
      <c r="L26" s="29"/>
      <c r="M26" s="30"/>
      <c r="N26" s="47"/>
      <c r="O26" s="32"/>
      <c r="P26" s="30"/>
      <c r="Q26" s="30"/>
      <c r="R26" s="40"/>
      <c r="S26" s="30"/>
      <c r="T26" s="30"/>
      <c r="U26" s="30"/>
      <c r="V26" s="30"/>
      <c r="W26" s="6"/>
      <c r="X26" s="5"/>
      <c r="Y26" s="5"/>
      <c r="Z26" s="70"/>
      <c r="AA26" s="42"/>
      <c r="AB26" s="45"/>
      <c r="AC26" s="10"/>
      <c r="AD26" s="10"/>
      <c r="AE26" s="11"/>
      <c r="AF26" s="10"/>
      <c r="AG26" s="10"/>
      <c r="AH26" s="11"/>
      <c r="AI26" s="46"/>
      <c r="AJ26" s="10"/>
      <c r="AK26" s="11"/>
      <c r="AL26" s="34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  <c r="IW26" s="26"/>
      <c r="IX26" s="26"/>
      <c r="IY26" s="26"/>
      <c r="IZ26" s="26"/>
      <c r="JA26" s="26"/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26"/>
      <c r="JR26" s="26"/>
      <c r="JS26" s="26"/>
      <c r="JT26" s="26"/>
      <c r="JU26" s="26"/>
      <c r="JV26" s="26"/>
      <c r="JW26" s="26"/>
      <c r="JX26" s="26"/>
      <c r="JY26" s="26"/>
      <c r="JZ26" s="26"/>
      <c r="KA26" s="26"/>
      <c r="KB26" s="26"/>
      <c r="KC26" s="26"/>
      <c r="KD26" s="26"/>
      <c r="KE26" s="26"/>
      <c r="KF26" s="26"/>
      <c r="KG26" s="26"/>
      <c r="KH26" s="26"/>
      <c r="KI26" s="26"/>
      <c r="KJ26" s="26"/>
      <c r="KK26" s="26"/>
      <c r="KL26" s="26"/>
      <c r="KM26" s="26"/>
      <c r="KN26" s="26"/>
      <c r="KO26" s="26"/>
      <c r="KP26" s="26"/>
      <c r="KQ26" s="26"/>
      <c r="KR26" s="26"/>
      <c r="KS26" s="26"/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26"/>
      <c r="LJ26" s="26"/>
      <c r="LK26" s="26"/>
      <c r="LL26" s="26"/>
      <c r="LM26" s="26"/>
      <c r="LN26" s="26"/>
      <c r="LO26" s="26"/>
      <c r="LP26" s="26"/>
      <c r="LQ26" s="26"/>
      <c r="LR26" s="26"/>
      <c r="LS26" s="26"/>
      <c r="LT26" s="26"/>
      <c r="LU26" s="26"/>
      <c r="LV26" s="26"/>
      <c r="LW26" s="26"/>
      <c r="LX26" s="26"/>
      <c r="LY26" s="26"/>
      <c r="LZ26" s="26"/>
      <c r="MA26" s="26"/>
      <c r="MB26" s="26"/>
      <c r="MC26" s="26"/>
      <c r="MD26" s="26"/>
      <c r="ME26" s="26"/>
      <c r="MF26" s="26"/>
      <c r="MG26" s="26"/>
      <c r="MH26" s="26"/>
      <c r="MI26" s="26"/>
      <c r="MJ26" s="26"/>
      <c r="MK26" s="26"/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</row>
    <row r="27" spans="1:364" s="10" customFormat="1" ht="24">
      <c r="A27" s="3"/>
      <c r="B27" s="4"/>
      <c r="C27" s="4"/>
      <c r="D27" s="6"/>
      <c r="E27" s="4"/>
      <c r="F27" s="113"/>
      <c r="G27" s="6"/>
      <c r="H27" s="7"/>
      <c r="I27" s="6"/>
      <c r="J27" s="6"/>
      <c r="K27" s="7"/>
      <c r="L27" s="5"/>
      <c r="M27" s="6"/>
      <c r="N27" s="8"/>
      <c r="O27" s="6"/>
      <c r="P27" s="6"/>
      <c r="Q27" s="12"/>
      <c r="R27" s="6"/>
      <c r="S27" s="6"/>
      <c r="T27" s="6"/>
      <c r="U27" s="6"/>
      <c r="V27" s="6"/>
      <c r="W27" s="6"/>
      <c r="X27" s="5"/>
      <c r="Y27" s="5"/>
      <c r="Z27" s="70"/>
      <c r="AA27" s="42"/>
      <c r="AB27" s="45"/>
      <c r="AE27" s="11"/>
      <c r="AH27" s="11"/>
      <c r="AI27" s="46"/>
      <c r="AK27" s="11"/>
      <c r="AL27" s="11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  <c r="IW27" s="26"/>
      <c r="IX27" s="26"/>
      <c r="IY27" s="26"/>
      <c r="IZ27" s="26"/>
      <c r="JA27" s="26"/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26"/>
      <c r="JR27" s="26"/>
      <c r="JS27" s="26"/>
      <c r="JT27" s="26"/>
      <c r="JU27" s="26"/>
      <c r="JV27" s="26"/>
      <c r="JW27" s="26"/>
      <c r="JX27" s="26"/>
      <c r="JY27" s="26"/>
      <c r="JZ27" s="26"/>
      <c r="KA27" s="26"/>
      <c r="KB27" s="26"/>
      <c r="KC27" s="26"/>
      <c r="KD27" s="26"/>
      <c r="KE27" s="26"/>
      <c r="KF27" s="26"/>
      <c r="KG27" s="26"/>
      <c r="KH27" s="26"/>
      <c r="KI27" s="26"/>
      <c r="KJ27" s="26"/>
      <c r="KK27" s="26"/>
      <c r="KL27" s="26"/>
      <c r="KM27" s="26"/>
      <c r="KN27" s="26"/>
      <c r="KO27" s="26"/>
      <c r="KP27" s="26"/>
      <c r="KQ27" s="26"/>
      <c r="KR27" s="26"/>
      <c r="KS27" s="26"/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26"/>
      <c r="LJ27" s="26"/>
      <c r="LK27" s="26"/>
      <c r="LL27" s="26"/>
      <c r="LM27" s="26"/>
      <c r="LN27" s="26"/>
      <c r="LO27" s="26"/>
      <c r="LP27" s="26"/>
      <c r="LQ27" s="26"/>
      <c r="LR27" s="26"/>
      <c r="LS27" s="26"/>
      <c r="LT27" s="26"/>
      <c r="LU27" s="26"/>
      <c r="LV27" s="26"/>
      <c r="LW27" s="26"/>
      <c r="LX27" s="26"/>
      <c r="LY27" s="26"/>
      <c r="LZ27" s="26"/>
      <c r="MA27" s="26"/>
      <c r="MB27" s="26"/>
      <c r="MC27" s="26"/>
      <c r="MD27" s="26"/>
      <c r="ME27" s="26"/>
      <c r="MF27" s="26"/>
      <c r="MG27" s="26"/>
      <c r="MH27" s="26"/>
      <c r="MI27" s="26"/>
      <c r="MJ27" s="26"/>
      <c r="MK27" s="26"/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</row>
    <row r="28" spans="1:364" s="10" customFormat="1" ht="24">
      <c r="A28" s="3"/>
      <c r="B28" s="4"/>
      <c r="C28" s="4"/>
      <c r="D28" s="6"/>
      <c r="E28" s="4"/>
      <c r="F28" s="113"/>
      <c r="G28" s="6"/>
      <c r="H28" s="7"/>
      <c r="I28" s="6"/>
      <c r="J28" s="6"/>
      <c r="K28" s="7"/>
      <c r="L28" s="5"/>
      <c r="M28" s="6"/>
      <c r="N28" s="8"/>
      <c r="O28" s="6"/>
      <c r="P28" s="6"/>
      <c r="Q28" s="12"/>
      <c r="R28" s="6"/>
      <c r="S28" s="6"/>
      <c r="T28" s="6"/>
      <c r="U28" s="6"/>
      <c r="V28" s="6"/>
      <c r="W28" s="6"/>
      <c r="X28" s="5"/>
      <c r="Y28" s="5"/>
      <c r="Z28" s="70"/>
      <c r="AA28" s="42"/>
      <c r="AB28" s="45"/>
      <c r="AE28" s="11"/>
      <c r="AH28" s="11"/>
      <c r="AI28" s="46"/>
      <c r="AK28" s="11"/>
      <c r="AL28" s="11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  <c r="IW28" s="26"/>
      <c r="IX28" s="26"/>
      <c r="IY28" s="26"/>
      <c r="IZ28" s="26"/>
      <c r="JA28" s="26"/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26"/>
      <c r="JR28" s="26"/>
      <c r="JS28" s="26"/>
      <c r="JT28" s="26"/>
      <c r="JU28" s="26"/>
      <c r="JV28" s="26"/>
      <c r="JW28" s="26"/>
      <c r="JX28" s="26"/>
      <c r="JY28" s="26"/>
      <c r="JZ28" s="26"/>
      <c r="KA28" s="26"/>
      <c r="KB28" s="26"/>
      <c r="KC28" s="26"/>
      <c r="KD28" s="26"/>
      <c r="KE28" s="26"/>
      <c r="KF28" s="26"/>
      <c r="KG28" s="26"/>
      <c r="KH28" s="26"/>
      <c r="KI28" s="26"/>
      <c r="KJ28" s="26"/>
      <c r="KK28" s="26"/>
      <c r="KL28" s="26"/>
      <c r="KM28" s="26"/>
      <c r="KN28" s="26"/>
      <c r="KO28" s="26"/>
      <c r="KP28" s="26"/>
      <c r="KQ28" s="26"/>
      <c r="KR28" s="26"/>
      <c r="KS28" s="26"/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26"/>
      <c r="LJ28" s="26"/>
      <c r="LK28" s="26"/>
      <c r="LL28" s="26"/>
      <c r="LM28" s="26"/>
      <c r="LN28" s="26"/>
      <c r="LO28" s="26"/>
      <c r="LP28" s="26"/>
      <c r="LQ28" s="26"/>
      <c r="LR28" s="26"/>
      <c r="LS28" s="26"/>
      <c r="LT28" s="26"/>
      <c r="LU28" s="26"/>
      <c r="LV28" s="26"/>
      <c r="LW28" s="26"/>
      <c r="LX28" s="26"/>
      <c r="LY28" s="26"/>
      <c r="LZ28" s="26"/>
      <c r="MA28" s="26"/>
      <c r="MB28" s="26"/>
      <c r="MC28" s="26"/>
      <c r="MD28" s="26"/>
      <c r="ME28" s="26"/>
      <c r="MF28" s="26"/>
      <c r="MG28" s="26"/>
      <c r="MH28" s="26"/>
      <c r="MI28" s="26"/>
      <c r="MJ28" s="26"/>
      <c r="MK28" s="26"/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</row>
    <row r="29" spans="1:364" s="10" customFormat="1" ht="24">
      <c r="A29" s="3"/>
      <c r="B29" s="4"/>
      <c r="C29" s="4"/>
      <c r="D29" s="6"/>
      <c r="E29" s="4"/>
      <c r="F29" s="113"/>
      <c r="G29" s="6"/>
      <c r="H29" s="7"/>
      <c r="I29" s="6"/>
      <c r="J29" s="6"/>
      <c r="K29" s="7"/>
      <c r="L29" s="5"/>
      <c r="M29" s="6"/>
      <c r="N29" s="8"/>
      <c r="O29" s="6"/>
      <c r="P29" s="6"/>
      <c r="Q29" s="12"/>
      <c r="R29" s="6"/>
      <c r="S29" s="6"/>
      <c r="T29" s="6"/>
      <c r="U29" s="6"/>
      <c r="V29" s="6"/>
      <c r="W29" s="6"/>
      <c r="X29" s="5"/>
      <c r="Y29" s="5"/>
      <c r="Z29" s="70"/>
      <c r="AA29" s="42"/>
      <c r="AB29" s="45"/>
      <c r="AE29" s="11"/>
      <c r="AH29" s="11"/>
      <c r="AI29" s="46"/>
      <c r="AK29" s="11"/>
      <c r="AL29" s="11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  <c r="IW29" s="26"/>
      <c r="IX29" s="26"/>
      <c r="IY29" s="26"/>
      <c r="IZ29" s="26"/>
      <c r="JA29" s="26"/>
      <c r="JB29" s="26"/>
      <c r="JC29" s="26"/>
      <c r="JD29" s="26"/>
      <c r="JE29" s="26"/>
      <c r="JF29" s="26"/>
      <c r="JG29" s="26"/>
      <c r="JH29" s="26"/>
      <c r="JI29" s="26"/>
      <c r="JJ29" s="26"/>
      <c r="JK29" s="26"/>
      <c r="JL29" s="26"/>
      <c r="JM29" s="26"/>
      <c r="JN29" s="26"/>
      <c r="JO29" s="26"/>
      <c r="JP29" s="26"/>
      <c r="JQ29" s="26"/>
      <c r="JR29" s="26"/>
      <c r="JS29" s="26"/>
      <c r="JT29" s="26"/>
      <c r="JU29" s="26"/>
      <c r="JV29" s="26"/>
      <c r="JW29" s="26"/>
      <c r="JX29" s="26"/>
      <c r="JY29" s="26"/>
      <c r="JZ29" s="26"/>
      <c r="KA29" s="26"/>
      <c r="KB29" s="26"/>
      <c r="KC29" s="26"/>
      <c r="KD29" s="26"/>
      <c r="KE29" s="26"/>
      <c r="KF29" s="26"/>
      <c r="KG29" s="26"/>
      <c r="KH29" s="26"/>
      <c r="KI29" s="26"/>
      <c r="KJ29" s="26"/>
      <c r="KK29" s="26"/>
      <c r="KL29" s="26"/>
      <c r="KM29" s="26"/>
      <c r="KN29" s="26"/>
      <c r="KO29" s="26"/>
      <c r="KP29" s="26"/>
      <c r="KQ29" s="26"/>
      <c r="KR29" s="26"/>
      <c r="KS29" s="26"/>
      <c r="KT29" s="26"/>
      <c r="KU29" s="26"/>
      <c r="KV29" s="26"/>
      <c r="KW29" s="26"/>
      <c r="KX29" s="26"/>
      <c r="KY29" s="26"/>
      <c r="KZ29" s="26"/>
      <c r="LA29" s="26"/>
      <c r="LB29" s="26"/>
      <c r="LC29" s="26"/>
      <c r="LD29" s="26"/>
      <c r="LE29" s="26"/>
      <c r="LF29" s="26"/>
      <c r="LG29" s="26"/>
      <c r="LH29" s="26"/>
      <c r="LI29" s="26"/>
      <c r="LJ29" s="26"/>
      <c r="LK29" s="26"/>
      <c r="LL29" s="26"/>
      <c r="LM29" s="26"/>
      <c r="LN29" s="26"/>
      <c r="LO29" s="26"/>
      <c r="LP29" s="26"/>
      <c r="LQ29" s="26"/>
      <c r="LR29" s="26"/>
      <c r="LS29" s="26"/>
      <c r="LT29" s="26"/>
      <c r="LU29" s="26"/>
      <c r="LV29" s="26"/>
      <c r="LW29" s="26"/>
      <c r="LX29" s="26"/>
      <c r="LY29" s="26"/>
      <c r="LZ29" s="26"/>
      <c r="MA29" s="26"/>
      <c r="MB29" s="26"/>
      <c r="MC29" s="26"/>
      <c r="MD29" s="26"/>
      <c r="ME29" s="26"/>
      <c r="MF29" s="26"/>
      <c r="MG29" s="26"/>
      <c r="MH29" s="26"/>
      <c r="MI29" s="26"/>
      <c r="MJ29" s="26"/>
      <c r="MK29" s="26"/>
      <c r="ML29" s="26"/>
      <c r="MM29" s="26"/>
      <c r="MN29" s="26"/>
      <c r="MO29" s="26"/>
      <c r="MP29" s="26"/>
      <c r="MQ29" s="26"/>
      <c r="MR29" s="26"/>
      <c r="MS29" s="26"/>
      <c r="MT29" s="26"/>
      <c r="MU29" s="26"/>
      <c r="MV29" s="26"/>
      <c r="MW29" s="26"/>
      <c r="MX29" s="26"/>
      <c r="MY29" s="26"/>
      <c r="MZ29" s="26"/>
    </row>
    <row r="30" spans="1:364" s="13" customFormat="1" ht="24">
      <c r="A30" s="27"/>
      <c r="B30" s="28"/>
      <c r="C30" s="28"/>
      <c r="D30" s="30"/>
      <c r="E30" s="28"/>
      <c r="F30" s="112"/>
      <c r="G30" s="30"/>
      <c r="H30" s="31"/>
      <c r="I30" s="30"/>
      <c r="J30" s="30"/>
      <c r="K30" s="31"/>
      <c r="L30" s="29"/>
      <c r="M30" s="30"/>
      <c r="N30" s="32"/>
      <c r="O30" s="30"/>
      <c r="P30" s="30"/>
      <c r="Q30" s="31"/>
      <c r="R30" s="30"/>
      <c r="S30" s="30"/>
      <c r="T30" s="30"/>
      <c r="U30" s="30"/>
      <c r="V30" s="30"/>
      <c r="W30" s="6"/>
      <c r="X30" s="5"/>
      <c r="Y30" s="5"/>
      <c r="Z30" s="70"/>
      <c r="AA30" s="42"/>
      <c r="AB30" s="45"/>
      <c r="AC30" s="10"/>
      <c r="AD30" s="10"/>
      <c r="AE30" s="11"/>
      <c r="AF30" s="10"/>
      <c r="AG30" s="10"/>
      <c r="AH30" s="11"/>
      <c r="AI30" s="10"/>
      <c r="AJ30" s="10"/>
      <c r="AK30" s="11"/>
      <c r="AL30" s="34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  <c r="IW30" s="26"/>
      <c r="IX30" s="26"/>
      <c r="IY30" s="26"/>
      <c r="IZ30" s="26"/>
      <c r="JA30" s="26"/>
      <c r="JB30" s="26"/>
      <c r="JC30" s="26"/>
      <c r="JD30" s="26"/>
      <c r="JE30" s="26"/>
      <c r="JF30" s="26"/>
      <c r="JG30" s="26"/>
      <c r="JH30" s="26"/>
      <c r="JI30" s="26"/>
      <c r="JJ30" s="26"/>
      <c r="JK30" s="26"/>
      <c r="JL30" s="26"/>
      <c r="JM30" s="26"/>
      <c r="JN30" s="26"/>
      <c r="JO30" s="26"/>
      <c r="JP30" s="26"/>
      <c r="JQ30" s="26"/>
      <c r="JR30" s="26"/>
      <c r="JS30" s="26"/>
      <c r="JT30" s="26"/>
      <c r="JU30" s="26"/>
      <c r="JV30" s="26"/>
      <c r="JW30" s="26"/>
      <c r="JX30" s="26"/>
      <c r="JY30" s="26"/>
      <c r="JZ30" s="26"/>
      <c r="KA30" s="26"/>
      <c r="KB30" s="26"/>
      <c r="KC30" s="26"/>
      <c r="KD30" s="26"/>
      <c r="KE30" s="26"/>
      <c r="KF30" s="26"/>
      <c r="KG30" s="26"/>
      <c r="KH30" s="26"/>
      <c r="KI30" s="26"/>
      <c r="KJ30" s="26"/>
      <c r="KK30" s="26"/>
      <c r="KL30" s="26"/>
      <c r="KM30" s="26"/>
      <c r="KN30" s="26"/>
      <c r="KO30" s="26"/>
      <c r="KP30" s="26"/>
      <c r="KQ30" s="26"/>
      <c r="KR30" s="26"/>
      <c r="KS30" s="26"/>
      <c r="KT30" s="26"/>
      <c r="KU30" s="26"/>
      <c r="KV30" s="26"/>
      <c r="KW30" s="26"/>
      <c r="KX30" s="26"/>
      <c r="KY30" s="26"/>
      <c r="KZ30" s="26"/>
      <c r="LA30" s="26"/>
      <c r="LB30" s="26"/>
      <c r="LC30" s="26"/>
      <c r="LD30" s="26"/>
      <c r="LE30" s="26"/>
      <c r="LF30" s="26"/>
      <c r="LG30" s="26"/>
      <c r="LH30" s="26"/>
      <c r="LI30" s="26"/>
      <c r="LJ30" s="26"/>
      <c r="LK30" s="26"/>
      <c r="LL30" s="26"/>
      <c r="LM30" s="26"/>
      <c r="LN30" s="26"/>
      <c r="LO30" s="26"/>
      <c r="LP30" s="26"/>
      <c r="LQ30" s="26"/>
      <c r="LR30" s="26"/>
      <c r="LS30" s="26"/>
      <c r="LT30" s="26"/>
      <c r="LU30" s="26"/>
      <c r="LV30" s="26"/>
      <c r="LW30" s="26"/>
      <c r="LX30" s="26"/>
      <c r="LY30" s="26"/>
      <c r="LZ30" s="26"/>
      <c r="MA30" s="26"/>
      <c r="MB30" s="26"/>
      <c r="MC30" s="26"/>
      <c r="MD30" s="26"/>
      <c r="ME30" s="26"/>
      <c r="MF30" s="26"/>
      <c r="MG30" s="26"/>
      <c r="MH30" s="26"/>
      <c r="MI30" s="26"/>
      <c r="MJ30" s="26"/>
      <c r="MK30" s="26"/>
      <c r="ML30" s="26"/>
      <c r="MM30" s="26"/>
      <c r="MN30" s="26"/>
      <c r="MO30" s="26"/>
      <c r="MP30" s="26"/>
      <c r="MQ30" s="26"/>
      <c r="MR30" s="26"/>
      <c r="MS30" s="26"/>
      <c r="MT30" s="26"/>
      <c r="MU30" s="26"/>
      <c r="MV30" s="26"/>
      <c r="MW30" s="26"/>
      <c r="MX30" s="26"/>
      <c r="MY30" s="26"/>
      <c r="MZ30" s="26"/>
    </row>
    <row r="31" spans="1:364" s="55" customFormat="1" ht="24">
      <c r="A31" s="50" t="s">
        <v>44</v>
      </c>
      <c r="B31" s="51"/>
      <c r="C31" s="51"/>
      <c r="D31" s="51"/>
      <c r="E31" s="52">
        <f>SUM(E15:E29)</f>
        <v>31</v>
      </c>
      <c r="F31" s="111">
        <f>SUM(F15:F30)</f>
        <v>3.4958333333333336</v>
      </c>
      <c r="G31" s="52">
        <f>SUM(G15:G26)</f>
        <v>13</v>
      </c>
      <c r="H31" s="52">
        <f>SUM(H15:H30)</f>
        <v>42</v>
      </c>
      <c r="I31" s="53">
        <f>G31/H31</f>
        <v>0.30952380952380953</v>
      </c>
      <c r="J31" s="52">
        <f>SUM(J15:J30)</f>
        <v>10</v>
      </c>
      <c r="K31" s="51">
        <f>SUM(K15:K30)</f>
        <v>27</v>
      </c>
      <c r="L31" s="54">
        <f>J31/K31</f>
        <v>0.37037037037037035</v>
      </c>
      <c r="M31" s="52">
        <f>SUM(M15:M30)</f>
        <v>1</v>
      </c>
      <c r="N31" s="51">
        <f>SUM(N15:N30)</f>
        <v>15</v>
      </c>
      <c r="O31" s="53">
        <f>M31/N31</f>
        <v>6.6666666666666666E-2</v>
      </c>
      <c r="P31" s="52">
        <f>SUM(P15:P30)</f>
        <v>2</v>
      </c>
      <c r="Q31" s="51">
        <f>SUM(Q15:Q30)</f>
        <v>11</v>
      </c>
      <c r="R31" s="53">
        <f>P31/Q31</f>
        <v>0.18181818181818182</v>
      </c>
      <c r="S31" s="52">
        <f>SUM(S15:S27)</f>
        <v>19</v>
      </c>
      <c r="T31" s="52">
        <f>SUM(T15:T30)</f>
        <v>7</v>
      </c>
      <c r="U31" s="52">
        <f>SUM(U15:U30)</f>
        <v>1</v>
      </c>
      <c r="V31" s="52">
        <f>SUM(V15:V30)</f>
        <v>25</v>
      </c>
      <c r="W31" s="51">
        <f>SUM(W15:W29)</f>
        <v>6</v>
      </c>
      <c r="X31" s="51">
        <f>SUM(X15:X30)</f>
        <v>18</v>
      </c>
      <c r="Y31" s="51">
        <f t="shared" ref="Y31:Z31" si="0">SUM(Y15:Y30)</f>
        <v>6</v>
      </c>
      <c r="Z31" s="51">
        <f t="shared" si="0"/>
        <v>1</v>
      </c>
      <c r="AA31" s="42"/>
      <c r="AB31" s="42"/>
      <c r="AC31" s="45"/>
      <c r="AD31" s="45"/>
      <c r="AE31" s="56"/>
      <c r="AF31" s="10"/>
      <c r="AG31" s="9"/>
      <c r="AH31" s="11"/>
      <c r="AI31" s="11"/>
      <c r="AJ31" s="11"/>
      <c r="AK31" s="44"/>
      <c r="AL31" s="11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  <c r="CQ31" s="109"/>
      <c r="CR31" s="109"/>
      <c r="CS31" s="109"/>
      <c r="CT31" s="109"/>
      <c r="CU31" s="109"/>
      <c r="CV31" s="109"/>
      <c r="CW31" s="109"/>
      <c r="CX31" s="109"/>
      <c r="CY31" s="109"/>
      <c r="CZ31" s="109"/>
      <c r="DA31" s="109"/>
      <c r="DB31" s="109"/>
      <c r="DC31" s="109"/>
      <c r="DD31" s="109"/>
      <c r="DE31" s="109"/>
      <c r="DF31" s="109"/>
      <c r="DG31" s="109"/>
      <c r="DH31" s="109"/>
      <c r="DI31" s="109"/>
      <c r="DJ31" s="109"/>
      <c r="DK31" s="109"/>
      <c r="DL31" s="109"/>
      <c r="DM31" s="109"/>
      <c r="DN31" s="109"/>
      <c r="DO31" s="109"/>
      <c r="DP31" s="109"/>
      <c r="DQ31" s="109"/>
      <c r="DR31" s="109"/>
      <c r="DS31" s="109"/>
      <c r="DT31" s="109"/>
      <c r="DU31" s="109"/>
      <c r="DV31" s="109"/>
      <c r="DW31" s="109"/>
      <c r="DX31" s="109"/>
      <c r="DY31" s="109"/>
      <c r="DZ31" s="109"/>
      <c r="EA31" s="109"/>
      <c r="EB31" s="109"/>
      <c r="EC31" s="109"/>
      <c r="ED31" s="109"/>
      <c r="EE31" s="109"/>
      <c r="EF31" s="109"/>
      <c r="EG31" s="109"/>
      <c r="EH31" s="109"/>
      <c r="EI31" s="109"/>
      <c r="EJ31" s="109"/>
      <c r="EK31" s="109"/>
      <c r="EL31" s="109"/>
      <c r="EM31" s="109"/>
      <c r="EN31" s="109"/>
      <c r="EO31" s="109"/>
      <c r="EP31" s="109"/>
      <c r="EQ31" s="109"/>
      <c r="ER31" s="109"/>
      <c r="ES31" s="109"/>
      <c r="ET31" s="109"/>
      <c r="EU31" s="109"/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9"/>
      <c r="GG31" s="109"/>
      <c r="GH31" s="109"/>
      <c r="GI31" s="109"/>
      <c r="GJ31" s="109"/>
      <c r="GK31" s="109"/>
      <c r="GL31" s="109"/>
      <c r="GM31" s="109"/>
      <c r="GN31" s="109"/>
      <c r="GO31" s="109"/>
      <c r="GP31" s="109"/>
      <c r="GQ31" s="109"/>
      <c r="GR31" s="109"/>
      <c r="GS31" s="109"/>
      <c r="GT31" s="109"/>
      <c r="GU31" s="109"/>
      <c r="GV31" s="109"/>
      <c r="GW31" s="109"/>
      <c r="GX31" s="109"/>
      <c r="GY31" s="109"/>
      <c r="GZ31" s="109"/>
      <c r="HA31" s="109"/>
      <c r="HB31" s="109"/>
      <c r="HC31" s="109"/>
      <c r="HD31" s="109"/>
      <c r="HE31" s="109"/>
      <c r="HF31" s="109"/>
      <c r="HG31" s="109"/>
      <c r="HH31" s="109"/>
      <c r="HI31" s="109"/>
      <c r="HJ31" s="109"/>
      <c r="HK31" s="109"/>
      <c r="HL31" s="109"/>
      <c r="HM31" s="109"/>
      <c r="HN31" s="109"/>
      <c r="HO31" s="109"/>
      <c r="HP31" s="109"/>
      <c r="HQ31" s="109"/>
      <c r="HR31" s="109"/>
      <c r="HS31" s="109"/>
      <c r="HT31" s="109"/>
      <c r="HU31" s="109"/>
      <c r="HV31" s="109"/>
      <c r="HW31" s="109"/>
      <c r="HX31" s="109"/>
      <c r="HY31" s="109"/>
      <c r="HZ31" s="109"/>
      <c r="IA31" s="109"/>
      <c r="IB31" s="109"/>
      <c r="IC31" s="109"/>
      <c r="ID31" s="109"/>
      <c r="IE31" s="109"/>
      <c r="IF31" s="109"/>
      <c r="IG31" s="109"/>
      <c r="IH31" s="109"/>
      <c r="II31" s="109"/>
      <c r="IJ31" s="109"/>
      <c r="IK31" s="109"/>
      <c r="IL31" s="109"/>
      <c r="IM31" s="109"/>
      <c r="IN31" s="109"/>
      <c r="IO31" s="109"/>
      <c r="IP31" s="109"/>
      <c r="IQ31" s="109"/>
      <c r="IR31" s="109"/>
      <c r="IS31" s="109"/>
      <c r="IT31" s="109"/>
      <c r="IU31" s="109"/>
      <c r="IV31" s="109"/>
      <c r="IW31" s="109"/>
      <c r="IX31" s="109"/>
      <c r="IY31" s="109"/>
      <c r="IZ31" s="109"/>
      <c r="JA31" s="109"/>
      <c r="JB31" s="109"/>
      <c r="JC31" s="109"/>
      <c r="JD31" s="109"/>
      <c r="JE31" s="109"/>
      <c r="JF31" s="109"/>
      <c r="JG31" s="109"/>
      <c r="JH31" s="109"/>
      <c r="JI31" s="109"/>
      <c r="JJ31" s="109"/>
      <c r="JK31" s="109"/>
      <c r="JL31" s="109"/>
      <c r="JM31" s="109"/>
      <c r="JN31" s="109"/>
      <c r="JO31" s="109"/>
      <c r="JP31" s="109"/>
      <c r="JQ31" s="109"/>
      <c r="JR31" s="109"/>
      <c r="JS31" s="109"/>
      <c r="JT31" s="109"/>
      <c r="JU31" s="109"/>
      <c r="JV31" s="109"/>
      <c r="JW31" s="109"/>
      <c r="JX31" s="109"/>
      <c r="JY31" s="109"/>
      <c r="JZ31" s="109"/>
      <c r="KA31" s="109"/>
      <c r="KB31" s="109"/>
      <c r="KC31" s="109"/>
      <c r="KD31" s="109"/>
      <c r="KE31" s="109"/>
      <c r="KF31" s="109"/>
      <c r="KG31" s="109"/>
      <c r="KH31" s="109"/>
      <c r="KI31" s="109"/>
      <c r="KJ31" s="109"/>
      <c r="KK31" s="109"/>
      <c r="KL31" s="109"/>
      <c r="KM31" s="109"/>
      <c r="KN31" s="109"/>
      <c r="KO31" s="109"/>
      <c r="KP31" s="109"/>
      <c r="KQ31" s="109"/>
      <c r="KR31" s="109"/>
      <c r="KS31" s="109"/>
      <c r="KT31" s="109"/>
      <c r="KU31" s="109"/>
      <c r="KV31" s="109"/>
      <c r="KW31" s="109"/>
      <c r="KX31" s="109"/>
      <c r="KY31" s="109"/>
      <c r="KZ31" s="109"/>
      <c r="LA31" s="109"/>
      <c r="LB31" s="109"/>
      <c r="LC31" s="109"/>
      <c r="LD31" s="109"/>
      <c r="LE31" s="109"/>
      <c r="LF31" s="109"/>
      <c r="LG31" s="109"/>
      <c r="LH31" s="109"/>
      <c r="LI31" s="109"/>
      <c r="LJ31" s="109"/>
      <c r="LK31" s="109"/>
      <c r="LL31" s="109"/>
      <c r="LM31" s="109"/>
      <c r="LN31" s="109"/>
      <c r="LO31" s="109"/>
      <c r="LP31" s="109"/>
      <c r="LQ31" s="109"/>
      <c r="LR31" s="109"/>
      <c r="LS31" s="109"/>
      <c r="LT31" s="109"/>
      <c r="LU31" s="109"/>
      <c r="LV31" s="109"/>
      <c r="LW31" s="109"/>
      <c r="LX31" s="109"/>
      <c r="LY31" s="109"/>
      <c r="LZ31" s="109"/>
      <c r="MA31" s="109"/>
      <c r="MB31" s="109"/>
      <c r="MC31" s="109"/>
      <c r="MD31" s="109"/>
      <c r="ME31" s="109"/>
      <c r="MF31" s="109"/>
      <c r="MG31" s="109"/>
      <c r="MH31" s="109"/>
      <c r="MI31" s="109"/>
      <c r="MJ31" s="109"/>
      <c r="MK31" s="109"/>
      <c r="ML31" s="109"/>
      <c r="MM31" s="109"/>
      <c r="MN31" s="109"/>
      <c r="MO31" s="109"/>
      <c r="MP31" s="109"/>
      <c r="MQ31" s="109"/>
      <c r="MR31" s="109"/>
      <c r="MS31" s="109"/>
      <c r="MT31" s="109"/>
      <c r="MU31" s="109"/>
      <c r="MV31" s="109"/>
      <c r="MW31" s="109"/>
      <c r="MX31" s="109"/>
      <c r="MY31" s="109"/>
      <c r="MZ31" s="109"/>
    </row>
    <row r="32" spans="1:364" ht="15.75" customHeight="1">
      <c r="AJ32"/>
      <c r="AK32"/>
      <c r="AL32"/>
      <c r="AM32" s="110"/>
      <c r="AN32" s="110"/>
      <c r="AO32" s="110"/>
      <c r="AP32" s="110"/>
      <c r="AQ32" s="110"/>
      <c r="AR32" s="110"/>
      <c r="AS32" s="110"/>
      <c r="AT32" s="110"/>
      <c r="AU32" s="110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  <c r="DC32" s="107"/>
      <c r="DD32" s="107"/>
      <c r="DE32" s="107"/>
      <c r="DF32" s="107"/>
      <c r="DG32" s="107"/>
      <c r="DH32" s="107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7"/>
      <c r="DX32" s="107"/>
      <c r="DY32" s="107"/>
      <c r="DZ32" s="107"/>
      <c r="EA32" s="107"/>
      <c r="EB32" s="107"/>
      <c r="EC32" s="107"/>
      <c r="ED32" s="107"/>
      <c r="EE32" s="107"/>
      <c r="EF32" s="107"/>
      <c r="EG32" s="107"/>
      <c r="EH32" s="107"/>
      <c r="EI32" s="107"/>
      <c r="EJ32" s="107"/>
      <c r="EK32" s="107"/>
      <c r="EL32" s="107"/>
      <c r="EM32" s="107"/>
      <c r="EN32" s="107"/>
      <c r="EO32" s="107"/>
      <c r="EP32" s="107"/>
      <c r="EQ32" s="107"/>
      <c r="ER32" s="107"/>
      <c r="ES32" s="107"/>
      <c r="ET32" s="107"/>
      <c r="EU32" s="107"/>
      <c r="EV32" s="107"/>
      <c r="EW32" s="107"/>
      <c r="EX32" s="107"/>
      <c r="EY32" s="107"/>
      <c r="EZ32" s="107"/>
      <c r="FA32" s="107"/>
      <c r="FB32" s="107"/>
      <c r="FC32" s="107"/>
      <c r="FD32" s="107"/>
      <c r="FE32" s="107"/>
      <c r="FF32" s="107"/>
      <c r="FG32" s="107"/>
      <c r="FH32" s="107"/>
      <c r="FI32" s="107"/>
      <c r="FJ32" s="107"/>
      <c r="FK32" s="107"/>
      <c r="FL32" s="107"/>
      <c r="FM32" s="107"/>
      <c r="FN32" s="107"/>
      <c r="FO32" s="107"/>
      <c r="FP32" s="107"/>
      <c r="FQ32" s="107"/>
      <c r="FR32" s="107"/>
      <c r="FS32" s="107"/>
      <c r="FT32" s="107"/>
      <c r="FU32" s="107"/>
      <c r="FV32" s="107"/>
      <c r="FW32" s="107"/>
      <c r="FX32" s="107"/>
      <c r="FY32" s="107"/>
      <c r="FZ32" s="107"/>
      <c r="GA32" s="107"/>
      <c r="GB32" s="107"/>
      <c r="GC32" s="107"/>
      <c r="GD32" s="107"/>
      <c r="GE32" s="107"/>
      <c r="GF32" s="107"/>
      <c r="GG32" s="107"/>
      <c r="GH32" s="107"/>
      <c r="GI32" s="107"/>
      <c r="GJ32" s="107"/>
      <c r="GK32" s="107"/>
      <c r="GL32" s="107"/>
      <c r="GM32" s="107"/>
      <c r="GN32" s="107"/>
      <c r="GO32" s="107"/>
      <c r="GP32" s="107"/>
      <c r="GQ32" s="107"/>
      <c r="GR32" s="107"/>
      <c r="GS32" s="107"/>
      <c r="GT32" s="107"/>
      <c r="GU32" s="107"/>
      <c r="GV32" s="107"/>
      <c r="GW32" s="107"/>
      <c r="GX32" s="107"/>
      <c r="GY32" s="107"/>
      <c r="GZ32" s="107"/>
      <c r="HA32" s="107"/>
      <c r="HB32" s="107"/>
      <c r="HC32" s="107"/>
      <c r="HD32" s="107"/>
      <c r="HE32" s="107"/>
      <c r="HF32" s="107"/>
      <c r="HG32" s="107"/>
      <c r="HH32" s="107"/>
      <c r="HI32" s="107"/>
      <c r="HJ32" s="107"/>
      <c r="HK32" s="107"/>
      <c r="HL32" s="107"/>
      <c r="HM32" s="107"/>
      <c r="HN32" s="107"/>
      <c r="HO32" s="107"/>
      <c r="HP32" s="107"/>
      <c r="HQ32" s="107"/>
      <c r="HR32" s="107"/>
      <c r="HS32" s="107"/>
      <c r="HT32" s="107"/>
      <c r="HU32" s="107"/>
      <c r="HV32" s="107"/>
      <c r="HW32" s="107"/>
      <c r="HX32" s="107"/>
      <c r="HY32" s="107"/>
      <c r="HZ32" s="107"/>
      <c r="IA32" s="107"/>
      <c r="IB32" s="107"/>
      <c r="IC32" s="107"/>
      <c r="ID32" s="107"/>
      <c r="IE32" s="107"/>
      <c r="IF32" s="107"/>
      <c r="IG32" s="107"/>
      <c r="IH32" s="107"/>
      <c r="II32" s="107"/>
      <c r="IJ32" s="107"/>
      <c r="IK32" s="107"/>
      <c r="IL32" s="107"/>
      <c r="IM32" s="107"/>
      <c r="IN32" s="107"/>
      <c r="IO32" s="107"/>
      <c r="IP32" s="107"/>
      <c r="IQ32" s="107"/>
      <c r="IR32" s="107"/>
      <c r="IS32" s="107"/>
      <c r="IT32" s="107"/>
      <c r="IU32" s="107"/>
      <c r="IV32" s="107"/>
      <c r="IW32" s="107"/>
      <c r="IX32" s="107"/>
      <c r="IY32" s="107"/>
      <c r="IZ32" s="107"/>
      <c r="JA32" s="107"/>
      <c r="JB32" s="107"/>
      <c r="JC32" s="107"/>
      <c r="JD32" s="107"/>
      <c r="JE32" s="107"/>
      <c r="JF32" s="107"/>
      <c r="JG32" s="107"/>
      <c r="JH32" s="107"/>
      <c r="JI32" s="107"/>
      <c r="JJ32" s="107"/>
      <c r="JK32" s="107"/>
      <c r="JL32" s="107"/>
      <c r="JM32" s="107"/>
      <c r="JN32" s="107"/>
      <c r="JO32" s="107"/>
      <c r="JP32" s="107"/>
      <c r="JQ32" s="107"/>
      <c r="JR32" s="107"/>
      <c r="JS32" s="107"/>
      <c r="JT32" s="107"/>
      <c r="JU32" s="107"/>
      <c r="JV32" s="107"/>
      <c r="JW32" s="107"/>
      <c r="JX32" s="107"/>
      <c r="JY32" s="107"/>
      <c r="JZ32" s="107"/>
      <c r="KA32" s="107"/>
      <c r="KB32" s="107"/>
      <c r="KC32" s="107"/>
      <c r="KD32" s="107"/>
      <c r="KE32" s="107"/>
      <c r="KF32" s="107"/>
      <c r="KG32" s="107"/>
      <c r="KH32" s="107"/>
      <c r="KI32" s="107"/>
      <c r="KJ32" s="107"/>
      <c r="KK32" s="107"/>
      <c r="KL32" s="107"/>
      <c r="KM32" s="107"/>
      <c r="KN32" s="107"/>
      <c r="KO32" s="107"/>
      <c r="KP32" s="107"/>
      <c r="KQ32" s="107"/>
      <c r="KR32" s="107"/>
      <c r="KS32" s="107"/>
      <c r="KT32" s="107"/>
      <c r="KU32" s="107"/>
      <c r="KV32" s="107"/>
      <c r="KW32" s="107"/>
      <c r="KX32" s="107"/>
      <c r="KY32" s="107"/>
      <c r="KZ32" s="107"/>
      <c r="LA32" s="107"/>
      <c r="LB32" s="107"/>
      <c r="LC32" s="107"/>
      <c r="LD32" s="107"/>
      <c r="LE32" s="107"/>
      <c r="LF32" s="107"/>
      <c r="LG32" s="107"/>
      <c r="LH32" s="107"/>
      <c r="LI32" s="107"/>
      <c r="LJ32" s="107"/>
      <c r="LK32" s="107"/>
      <c r="LL32" s="107"/>
      <c r="LM32" s="107"/>
      <c r="LN32" s="107"/>
      <c r="LO32" s="107"/>
      <c r="LP32" s="107"/>
      <c r="LQ32" s="107"/>
      <c r="LR32" s="107"/>
      <c r="LS32" s="107"/>
      <c r="LT32" s="107"/>
      <c r="LU32" s="107"/>
      <c r="LV32" s="107"/>
      <c r="LW32" s="107"/>
      <c r="LX32" s="107"/>
      <c r="LY32" s="107"/>
      <c r="LZ32" s="107"/>
      <c r="MA32" s="107"/>
      <c r="MB32" s="107"/>
      <c r="MC32" s="107"/>
      <c r="MD32" s="107"/>
      <c r="ME32" s="107"/>
      <c r="MF32" s="107"/>
      <c r="MG32" s="107"/>
      <c r="MH32" s="107"/>
      <c r="MI32" s="107"/>
      <c r="MJ32" s="107"/>
      <c r="MK32" s="107"/>
      <c r="ML32" s="107"/>
      <c r="MM32" s="107"/>
      <c r="MN32" s="107"/>
      <c r="MO32" s="107"/>
      <c r="MP32" s="107"/>
      <c r="MQ32" s="107"/>
      <c r="MR32" s="107"/>
      <c r="MS32" s="107"/>
      <c r="MT32" s="107"/>
      <c r="MU32" s="107"/>
      <c r="MV32" s="107"/>
      <c r="MW32" s="107"/>
      <c r="MX32" s="107"/>
      <c r="MY32" s="107"/>
      <c r="MZ32" s="107"/>
    </row>
    <row r="33" spans="5:364" ht="15.75" customHeight="1">
      <c r="AJ33"/>
      <c r="AK33"/>
      <c r="AL33"/>
      <c r="AM33" s="110"/>
      <c r="AN33" s="110"/>
      <c r="AO33" s="110"/>
      <c r="AP33" s="110"/>
      <c r="AQ33" s="110"/>
      <c r="AR33" s="110"/>
      <c r="AS33" s="110"/>
      <c r="AT33" s="110"/>
      <c r="AU33" s="110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  <c r="DC33" s="107"/>
      <c r="DD33" s="107"/>
      <c r="DE33" s="107"/>
      <c r="DF33" s="107"/>
      <c r="DG33" s="107"/>
      <c r="DH33" s="107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7"/>
      <c r="DX33" s="107"/>
      <c r="DY33" s="107"/>
      <c r="DZ33" s="107"/>
      <c r="EA33" s="107"/>
      <c r="EB33" s="107"/>
      <c r="EC33" s="107"/>
      <c r="ED33" s="107"/>
      <c r="EE33" s="107"/>
      <c r="EF33" s="107"/>
      <c r="EG33" s="107"/>
      <c r="EH33" s="107"/>
      <c r="EI33" s="107"/>
      <c r="EJ33" s="107"/>
      <c r="EK33" s="107"/>
      <c r="EL33" s="107"/>
      <c r="EM33" s="107"/>
      <c r="EN33" s="107"/>
      <c r="EO33" s="107"/>
      <c r="EP33" s="107"/>
      <c r="EQ33" s="107"/>
      <c r="ER33" s="107"/>
      <c r="ES33" s="107"/>
      <c r="ET33" s="107"/>
      <c r="EU33" s="107"/>
      <c r="EV33" s="107"/>
      <c r="EW33" s="107"/>
      <c r="EX33" s="107"/>
      <c r="EY33" s="107"/>
      <c r="EZ33" s="107"/>
      <c r="FA33" s="107"/>
      <c r="FB33" s="107"/>
      <c r="FC33" s="107"/>
      <c r="FD33" s="107"/>
      <c r="FE33" s="107"/>
      <c r="FF33" s="107"/>
      <c r="FG33" s="107"/>
      <c r="FH33" s="107"/>
      <c r="FI33" s="107"/>
      <c r="FJ33" s="107"/>
      <c r="FK33" s="107"/>
      <c r="FL33" s="107"/>
      <c r="FM33" s="107"/>
      <c r="FN33" s="107"/>
      <c r="FO33" s="107"/>
      <c r="FP33" s="107"/>
      <c r="FQ33" s="107"/>
      <c r="FR33" s="107"/>
      <c r="FS33" s="107"/>
      <c r="FT33" s="107"/>
      <c r="FU33" s="107"/>
      <c r="FV33" s="107"/>
      <c r="FW33" s="107"/>
      <c r="FX33" s="107"/>
      <c r="FY33" s="107"/>
      <c r="FZ33" s="107"/>
      <c r="GA33" s="107"/>
      <c r="GB33" s="107"/>
      <c r="GC33" s="107"/>
      <c r="GD33" s="107"/>
      <c r="GE33" s="107"/>
      <c r="GF33" s="107"/>
      <c r="GG33" s="107"/>
      <c r="GH33" s="107"/>
      <c r="GI33" s="107"/>
      <c r="GJ33" s="107"/>
      <c r="GK33" s="107"/>
      <c r="GL33" s="107"/>
      <c r="GM33" s="107"/>
      <c r="GN33" s="107"/>
      <c r="GO33" s="107"/>
      <c r="GP33" s="107"/>
      <c r="GQ33" s="107"/>
      <c r="GR33" s="107"/>
      <c r="GS33" s="107"/>
      <c r="GT33" s="107"/>
      <c r="GU33" s="107"/>
      <c r="GV33" s="107"/>
      <c r="GW33" s="107"/>
      <c r="GX33" s="107"/>
      <c r="GY33" s="107"/>
      <c r="GZ33" s="107"/>
      <c r="HA33" s="107"/>
      <c r="HB33" s="107"/>
      <c r="HC33" s="107"/>
      <c r="HD33" s="107"/>
      <c r="HE33" s="107"/>
      <c r="HF33" s="107"/>
      <c r="HG33" s="107"/>
      <c r="HH33" s="107"/>
      <c r="HI33" s="107"/>
      <c r="HJ33" s="107"/>
      <c r="HK33" s="107"/>
      <c r="HL33" s="107"/>
      <c r="HM33" s="107"/>
      <c r="HN33" s="107"/>
      <c r="HO33" s="107"/>
      <c r="HP33" s="107"/>
      <c r="HQ33" s="107"/>
      <c r="HR33" s="107"/>
      <c r="HS33" s="107"/>
      <c r="HT33" s="107"/>
      <c r="HU33" s="107"/>
      <c r="HV33" s="107"/>
      <c r="HW33" s="107"/>
      <c r="HX33" s="107"/>
      <c r="HY33" s="107"/>
      <c r="HZ33" s="107"/>
      <c r="IA33" s="107"/>
      <c r="IB33" s="107"/>
      <c r="IC33" s="107"/>
      <c r="ID33" s="107"/>
      <c r="IE33" s="107"/>
      <c r="IF33" s="107"/>
      <c r="IG33" s="107"/>
      <c r="IH33" s="107"/>
      <c r="II33" s="107"/>
      <c r="IJ33" s="107"/>
      <c r="IK33" s="107"/>
      <c r="IL33" s="107"/>
      <c r="IM33" s="107"/>
      <c r="IN33" s="107"/>
      <c r="IO33" s="107"/>
      <c r="IP33" s="107"/>
      <c r="IQ33" s="107"/>
      <c r="IR33" s="107"/>
      <c r="IS33" s="107"/>
      <c r="IT33" s="107"/>
      <c r="IU33" s="107"/>
      <c r="IV33" s="107"/>
      <c r="IW33" s="107"/>
      <c r="IX33" s="107"/>
      <c r="IY33" s="107"/>
      <c r="IZ33" s="107"/>
      <c r="JA33" s="107"/>
      <c r="JB33" s="107"/>
      <c r="JC33" s="107"/>
      <c r="JD33" s="107"/>
      <c r="JE33" s="107"/>
      <c r="JF33" s="107"/>
      <c r="JG33" s="107"/>
      <c r="JH33" s="107"/>
      <c r="JI33" s="107"/>
      <c r="JJ33" s="107"/>
      <c r="JK33" s="107"/>
      <c r="JL33" s="107"/>
      <c r="JM33" s="107"/>
      <c r="JN33" s="107"/>
      <c r="JO33" s="107"/>
      <c r="JP33" s="107"/>
      <c r="JQ33" s="107"/>
      <c r="JR33" s="107"/>
      <c r="JS33" s="107"/>
      <c r="JT33" s="107"/>
      <c r="JU33" s="107"/>
      <c r="JV33" s="107"/>
      <c r="JW33" s="107"/>
      <c r="JX33" s="107"/>
      <c r="JY33" s="107"/>
      <c r="JZ33" s="107"/>
      <c r="KA33" s="107"/>
      <c r="KB33" s="107"/>
      <c r="KC33" s="107"/>
      <c r="KD33" s="107"/>
      <c r="KE33" s="107"/>
      <c r="KF33" s="107"/>
      <c r="KG33" s="107"/>
      <c r="KH33" s="107"/>
      <c r="KI33" s="107"/>
      <c r="KJ33" s="107"/>
      <c r="KK33" s="107"/>
      <c r="KL33" s="107"/>
      <c r="KM33" s="107"/>
      <c r="KN33" s="107"/>
      <c r="KO33" s="107"/>
      <c r="KP33" s="107"/>
      <c r="KQ33" s="107"/>
      <c r="KR33" s="107"/>
      <c r="KS33" s="107"/>
      <c r="KT33" s="107"/>
      <c r="KU33" s="107"/>
      <c r="KV33" s="107"/>
      <c r="KW33" s="107"/>
      <c r="KX33" s="107"/>
      <c r="KY33" s="107"/>
      <c r="KZ33" s="107"/>
      <c r="LA33" s="107"/>
      <c r="LB33" s="107"/>
      <c r="LC33" s="107"/>
      <c r="LD33" s="107"/>
      <c r="LE33" s="107"/>
      <c r="LF33" s="107"/>
      <c r="LG33" s="107"/>
      <c r="LH33" s="107"/>
      <c r="LI33" s="107"/>
      <c r="LJ33" s="107"/>
      <c r="LK33" s="107"/>
      <c r="LL33" s="107"/>
      <c r="LM33" s="107"/>
      <c r="LN33" s="107"/>
      <c r="LO33" s="107"/>
      <c r="LP33" s="107"/>
      <c r="LQ33" s="107"/>
      <c r="LR33" s="107"/>
      <c r="LS33" s="107"/>
      <c r="LT33" s="107"/>
      <c r="LU33" s="107"/>
      <c r="LV33" s="107"/>
      <c r="LW33" s="107"/>
      <c r="LX33" s="107"/>
      <c r="LY33" s="107"/>
      <c r="LZ33" s="107"/>
      <c r="MA33" s="107"/>
      <c r="MB33" s="107"/>
      <c r="MC33" s="107"/>
      <c r="MD33" s="107"/>
      <c r="ME33" s="107"/>
      <c r="MF33" s="107"/>
      <c r="MG33" s="107"/>
      <c r="MH33" s="107"/>
      <c r="MI33" s="107"/>
      <c r="MJ33" s="107"/>
      <c r="MK33" s="107"/>
      <c r="ML33" s="107"/>
      <c r="MM33" s="107"/>
      <c r="MN33" s="107"/>
      <c r="MO33" s="107"/>
      <c r="MP33" s="107"/>
      <c r="MQ33" s="107"/>
      <c r="MR33" s="107"/>
      <c r="MS33" s="107"/>
      <c r="MT33" s="107"/>
      <c r="MU33" s="107"/>
      <c r="MV33" s="107"/>
      <c r="MW33" s="107"/>
      <c r="MX33" s="107"/>
      <c r="MY33" s="107"/>
      <c r="MZ33" s="107"/>
    </row>
    <row r="34" spans="5:364" ht="15.75" customHeight="1">
      <c r="AJ34"/>
      <c r="AK34"/>
      <c r="AL34"/>
      <c r="AM34" s="110"/>
      <c r="AN34" s="110"/>
      <c r="AO34" s="110"/>
      <c r="AP34" s="110"/>
      <c r="AQ34" s="110"/>
      <c r="AR34" s="110"/>
      <c r="AS34" s="110"/>
      <c r="AT34" s="110"/>
      <c r="AU34" s="110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  <c r="DC34" s="107"/>
      <c r="DD34" s="107"/>
      <c r="DE34" s="107"/>
      <c r="DF34" s="107"/>
      <c r="DG34" s="107"/>
      <c r="DH34" s="107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7"/>
      <c r="DX34" s="107"/>
      <c r="DY34" s="107"/>
      <c r="DZ34" s="107"/>
      <c r="EA34" s="107"/>
      <c r="EB34" s="107"/>
      <c r="EC34" s="107"/>
      <c r="ED34" s="107"/>
      <c r="EE34" s="107"/>
      <c r="EF34" s="107"/>
      <c r="EG34" s="107"/>
      <c r="EH34" s="107"/>
      <c r="EI34" s="107"/>
      <c r="EJ34" s="107"/>
      <c r="EK34" s="107"/>
      <c r="EL34" s="107"/>
      <c r="EM34" s="107"/>
      <c r="EN34" s="107"/>
      <c r="EO34" s="107"/>
      <c r="EP34" s="107"/>
      <c r="EQ34" s="107"/>
      <c r="ER34" s="107"/>
      <c r="ES34" s="107"/>
      <c r="ET34" s="107"/>
      <c r="EU34" s="107"/>
      <c r="EV34" s="107"/>
      <c r="EW34" s="107"/>
      <c r="EX34" s="107"/>
      <c r="EY34" s="107"/>
      <c r="EZ34" s="107"/>
      <c r="FA34" s="107"/>
      <c r="FB34" s="107"/>
      <c r="FC34" s="107"/>
      <c r="FD34" s="107"/>
      <c r="FE34" s="107"/>
      <c r="FF34" s="107"/>
      <c r="FG34" s="107"/>
      <c r="FH34" s="107"/>
      <c r="FI34" s="107"/>
      <c r="FJ34" s="107"/>
      <c r="FK34" s="107"/>
      <c r="FL34" s="107"/>
      <c r="FM34" s="107"/>
      <c r="FN34" s="107"/>
      <c r="FO34" s="107"/>
      <c r="FP34" s="107"/>
      <c r="FQ34" s="107"/>
      <c r="FR34" s="107"/>
      <c r="FS34" s="107"/>
      <c r="FT34" s="107"/>
      <c r="FU34" s="107"/>
      <c r="FV34" s="107"/>
      <c r="FW34" s="107"/>
      <c r="FX34" s="107"/>
      <c r="FY34" s="107"/>
      <c r="FZ34" s="107"/>
      <c r="GA34" s="107"/>
      <c r="GB34" s="107"/>
      <c r="GC34" s="107"/>
      <c r="GD34" s="107"/>
      <c r="GE34" s="107"/>
      <c r="GF34" s="107"/>
      <c r="GG34" s="107"/>
      <c r="GH34" s="107"/>
      <c r="GI34" s="107"/>
      <c r="GJ34" s="107"/>
      <c r="GK34" s="107"/>
      <c r="GL34" s="107"/>
      <c r="GM34" s="107"/>
      <c r="GN34" s="107"/>
      <c r="GO34" s="107"/>
      <c r="GP34" s="107"/>
      <c r="GQ34" s="107"/>
      <c r="GR34" s="107"/>
      <c r="GS34" s="107"/>
      <c r="GT34" s="107"/>
      <c r="GU34" s="107"/>
      <c r="GV34" s="107"/>
      <c r="GW34" s="107"/>
      <c r="GX34" s="107"/>
      <c r="GY34" s="107"/>
      <c r="GZ34" s="107"/>
      <c r="HA34" s="107"/>
      <c r="HB34" s="107"/>
      <c r="HC34" s="107"/>
      <c r="HD34" s="107"/>
      <c r="HE34" s="107"/>
      <c r="HF34" s="107"/>
      <c r="HG34" s="107"/>
      <c r="HH34" s="107"/>
      <c r="HI34" s="107"/>
      <c r="HJ34" s="107"/>
      <c r="HK34" s="107"/>
      <c r="HL34" s="107"/>
      <c r="HM34" s="107"/>
      <c r="HN34" s="107"/>
      <c r="HO34" s="107"/>
      <c r="HP34" s="107"/>
      <c r="HQ34" s="107"/>
      <c r="HR34" s="107"/>
      <c r="HS34" s="107"/>
      <c r="HT34" s="107"/>
      <c r="HU34" s="107"/>
      <c r="HV34" s="107"/>
      <c r="HW34" s="107"/>
      <c r="HX34" s="107"/>
      <c r="HY34" s="107"/>
      <c r="HZ34" s="107"/>
      <c r="IA34" s="107"/>
      <c r="IB34" s="107"/>
      <c r="IC34" s="107"/>
      <c r="ID34" s="107"/>
      <c r="IE34" s="107"/>
      <c r="IF34" s="107"/>
      <c r="IG34" s="107"/>
      <c r="IH34" s="107"/>
      <c r="II34" s="107"/>
      <c r="IJ34" s="107"/>
      <c r="IK34" s="107"/>
      <c r="IL34" s="107"/>
      <c r="IM34" s="107"/>
      <c r="IN34" s="107"/>
      <c r="IO34" s="107"/>
      <c r="IP34" s="107"/>
      <c r="IQ34" s="107"/>
      <c r="IR34" s="107"/>
      <c r="IS34" s="107"/>
      <c r="IT34" s="107"/>
      <c r="IU34" s="107"/>
      <c r="IV34" s="107"/>
      <c r="IW34" s="107"/>
      <c r="IX34" s="107"/>
      <c r="IY34" s="107"/>
      <c r="IZ34" s="107"/>
      <c r="JA34" s="107"/>
      <c r="JB34" s="107"/>
      <c r="JC34" s="107"/>
      <c r="JD34" s="107"/>
      <c r="JE34" s="107"/>
      <c r="JF34" s="107"/>
      <c r="JG34" s="107"/>
      <c r="JH34" s="107"/>
      <c r="JI34" s="107"/>
      <c r="JJ34" s="107"/>
      <c r="JK34" s="107"/>
      <c r="JL34" s="107"/>
      <c r="JM34" s="107"/>
      <c r="JN34" s="107"/>
      <c r="JO34" s="107"/>
      <c r="JP34" s="107"/>
      <c r="JQ34" s="107"/>
      <c r="JR34" s="107"/>
      <c r="JS34" s="107"/>
      <c r="JT34" s="107"/>
      <c r="JU34" s="107"/>
      <c r="JV34" s="107"/>
      <c r="JW34" s="107"/>
      <c r="JX34" s="107"/>
      <c r="JY34" s="107"/>
      <c r="JZ34" s="107"/>
      <c r="KA34" s="107"/>
      <c r="KB34" s="107"/>
      <c r="KC34" s="107"/>
      <c r="KD34" s="107"/>
      <c r="KE34" s="107"/>
      <c r="KF34" s="107"/>
      <c r="KG34" s="107"/>
      <c r="KH34" s="107"/>
      <c r="KI34" s="107"/>
      <c r="KJ34" s="107"/>
      <c r="KK34" s="107"/>
      <c r="KL34" s="107"/>
      <c r="KM34" s="107"/>
      <c r="KN34" s="107"/>
      <c r="KO34" s="107"/>
      <c r="KP34" s="107"/>
      <c r="KQ34" s="107"/>
      <c r="KR34" s="107"/>
      <c r="KS34" s="107"/>
      <c r="KT34" s="107"/>
      <c r="KU34" s="107"/>
      <c r="KV34" s="107"/>
      <c r="KW34" s="107"/>
      <c r="KX34" s="107"/>
      <c r="KY34" s="107"/>
      <c r="KZ34" s="107"/>
      <c r="LA34" s="107"/>
      <c r="LB34" s="107"/>
      <c r="LC34" s="107"/>
      <c r="LD34" s="107"/>
      <c r="LE34" s="107"/>
      <c r="LF34" s="107"/>
      <c r="LG34" s="107"/>
      <c r="LH34" s="107"/>
      <c r="LI34" s="107"/>
      <c r="LJ34" s="107"/>
      <c r="LK34" s="107"/>
      <c r="LL34" s="107"/>
      <c r="LM34" s="107"/>
      <c r="LN34" s="107"/>
      <c r="LO34" s="107"/>
      <c r="LP34" s="107"/>
      <c r="LQ34" s="107"/>
      <c r="LR34" s="107"/>
      <c r="LS34" s="107"/>
      <c r="LT34" s="107"/>
      <c r="LU34" s="107"/>
      <c r="LV34" s="107"/>
      <c r="LW34" s="107"/>
      <c r="LX34" s="107"/>
      <c r="LY34" s="107"/>
      <c r="LZ34" s="107"/>
      <c r="MA34" s="107"/>
      <c r="MB34" s="107"/>
      <c r="MC34" s="107"/>
      <c r="MD34" s="107"/>
      <c r="ME34" s="107"/>
      <c r="MF34" s="107"/>
      <c r="MG34" s="107"/>
      <c r="MH34" s="107"/>
      <c r="MI34" s="107"/>
      <c r="MJ34" s="107"/>
      <c r="MK34" s="107"/>
      <c r="ML34" s="107"/>
      <c r="MM34" s="107"/>
      <c r="MN34" s="107"/>
      <c r="MO34" s="107"/>
      <c r="MP34" s="107"/>
      <c r="MQ34" s="107"/>
      <c r="MR34" s="107"/>
      <c r="MS34" s="107"/>
      <c r="MT34" s="107"/>
      <c r="MU34" s="107"/>
      <c r="MV34" s="107"/>
      <c r="MW34" s="107"/>
      <c r="MX34" s="107"/>
      <c r="MY34" s="107"/>
      <c r="MZ34" s="107"/>
    </row>
    <row r="35" spans="5:364" ht="15.75" customHeight="1">
      <c r="AJ35"/>
      <c r="AK35"/>
      <c r="AL35"/>
      <c r="AM35" s="110"/>
      <c r="AN35" s="110"/>
      <c r="AO35" s="110"/>
      <c r="AP35" s="110"/>
      <c r="AQ35" s="110"/>
      <c r="AR35" s="110"/>
      <c r="AS35" s="110"/>
      <c r="AT35" s="110"/>
      <c r="AU35" s="110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  <c r="DC35" s="107"/>
      <c r="DD35" s="107"/>
      <c r="DE35" s="107"/>
      <c r="DF35" s="107"/>
      <c r="DG35" s="107"/>
      <c r="DH35" s="107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7"/>
      <c r="DX35" s="107"/>
      <c r="DY35" s="107"/>
      <c r="DZ35" s="107"/>
      <c r="EA35" s="107"/>
      <c r="EB35" s="107"/>
      <c r="EC35" s="107"/>
      <c r="ED35" s="107"/>
      <c r="EE35" s="107"/>
      <c r="EF35" s="107"/>
      <c r="EG35" s="107"/>
      <c r="EH35" s="107"/>
      <c r="EI35" s="107"/>
      <c r="EJ35" s="107"/>
      <c r="EK35" s="107"/>
      <c r="EL35" s="107"/>
      <c r="EM35" s="107"/>
      <c r="EN35" s="107"/>
      <c r="EO35" s="107"/>
      <c r="EP35" s="107"/>
      <c r="EQ35" s="107"/>
      <c r="ER35" s="107"/>
      <c r="ES35" s="107"/>
      <c r="ET35" s="107"/>
      <c r="EU35" s="107"/>
      <c r="EV35" s="107"/>
      <c r="EW35" s="107"/>
      <c r="EX35" s="107"/>
      <c r="EY35" s="107"/>
      <c r="EZ35" s="107"/>
      <c r="FA35" s="107"/>
      <c r="FB35" s="107"/>
      <c r="FC35" s="107"/>
      <c r="FD35" s="107"/>
      <c r="FE35" s="107"/>
      <c r="FF35" s="107"/>
      <c r="FG35" s="107"/>
      <c r="FH35" s="107"/>
      <c r="FI35" s="107"/>
      <c r="FJ35" s="107"/>
      <c r="FK35" s="107"/>
      <c r="FL35" s="107"/>
      <c r="FM35" s="107"/>
      <c r="FN35" s="107"/>
      <c r="FO35" s="107"/>
      <c r="FP35" s="107"/>
      <c r="FQ35" s="107"/>
      <c r="FR35" s="107"/>
      <c r="FS35" s="107"/>
      <c r="FT35" s="107"/>
      <c r="FU35" s="107"/>
      <c r="FV35" s="107"/>
      <c r="FW35" s="107"/>
      <c r="FX35" s="107"/>
      <c r="FY35" s="107"/>
      <c r="FZ35" s="107"/>
      <c r="GA35" s="107"/>
      <c r="GB35" s="107"/>
      <c r="GC35" s="107"/>
      <c r="GD35" s="107"/>
      <c r="GE35" s="107"/>
      <c r="GF35" s="107"/>
      <c r="GG35" s="107"/>
      <c r="GH35" s="107"/>
      <c r="GI35" s="107"/>
      <c r="GJ35" s="107"/>
      <c r="GK35" s="107"/>
      <c r="GL35" s="107"/>
      <c r="GM35" s="107"/>
      <c r="GN35" s="107"/>
      <c r="GO35" s="107"/>
      <c r="GP35" s="107"/>
      <c r="GQ35" s="107"/>
      <c r="GR35" s="107"/>
      <c r="GS35" s="107"/>
      <c r="GT35" s="107"/>
      <c r="GU35" s="107"/>
      <c r="GV35" s="107"/>
      <c r="GW35" s="107"/>
      <c r="GX35" s="107"/>
      <c r="GY35" s="107"/>
      <c r="GZ35" s="107"/>
      <c r="HA35" s="107"/>
      <c r="HB35" s="107"/>
      <c r="HC35" s="107"/>
      <c r="HD35" s="107"/>
      <c r="HE35" s="107"/>
      <c r="HF35" s="107"/>
      <c r="HG35" s="107"/>
      <c r="HH35" s="107"/>
      <c r="HI35" s="107"/>
      <c r="HJ35" s="107"/>
      <c r="HK35" s="107"/>
      <c r="HL35" s="107"/>
      <c r="HM35" s="107"/>
      <c r="HN35" s="107"/>
      <c r="HO35" s="107"/>
      <c r="HP35" s="107"/>
      <c r="HQ35" s="107"/>
      <c r="HR35" s="107"/>
      <c r="HS35" s="107"/>
      <c r="HT35" s="107"/>
      <c r="HU35" s="107"/>
      <c r="HV35" s="107"/>
      <c r="HW35" s="107"/>
      <c r="HX35" s="107"/>
      <c r="HY35" s="107"/>
      <c r="HZ35" s="107"/>
      <c r="IA35" s="107"/>
      <c r="IB35" s="107"/>
      <c r="IC35" s="107"/>
      <c r="ID35" s="107"/>
      <c r="IE35" s="107"/>
      <c r="IF35" s="107"/>
      <c r="IG35" s="107"/>
      <c r="IH35" s="107"/>
      <c r="II35" s="107"/>
      <c r="IJ35" s="107"/>
      <c r="IK35" s="107"/>
      <c r="IL35" s="107"/>
      <c r="IM35" s="107"/>
      <c r="IN35" s="107"/>
      <c r="IO35" s="107"/>
      <c r="IP35" s="107"/>
      <c r="IQ35" s="107"/>
      <c r="IR35" s="107"/>
      <c r="IS35" s="107"/>
      <c r="IT35" s="107"/>
      <c r="IU35" s="107"/>
      <c r="IV35" s="107"/>
      <c r="IW35" s="107"/>
      <c r="IX35" s="107"/>
      <c r="IY35" s="107"/>
      <c r="IZ35" s="107"/>
      <c r="JA35" s="107"/>
      <c r="JB35" s="107"/>
      <c r="JC35" s="107"/>
      <c r="JD35" s="107"/>
      <c r="JE35" s="107"/>
      <c r="JF35" s="107"/>
      <c r="JG35" s="107"/>
      <c r="JH35" s="107"/>
      <c r="JI35" s="107"/>
      <c r="JJ35" s="107"/>
      <c r="JK35" s="107"/>
      <c r="JL35" s="107"/>
      <c r="JM35" s="107"/>
      <c r="JN35" s="107"/>
      <c r="JO35" s="107"/>
      <c r="JP35" s="107"/>
      <c r="JQ35" s="107"/>
      <c r="JR35" s="107"/>
      <c r="JS35" s="107"/>
      <c r="JT35" s="107"/>
      <c r="JU35" s="107"/>
      <c r="JV35" s="107"/>
      <c r="JW35" s="107"/>
      <c r="JX35" s="107"/>
      <c r="JY35" s="107"/>
      <c r="JZ35" s="107"/>
      <c r="KA35" s="107"/>
      <c r="KB35" s="107"/>
      <c r="KC35" s="107"/>
      <c r="KD35" s="107"/>
      <c r="KE35" s="107"/>
      <c r="KF35" s="107"/>
      <c r="KG35" s="107"/>
      <c r="KH35" s="107"/>
      <c r="KI35" s="107"/>
      <c r="KJ35" s="107"/>
      <c r="KK35" s="107"/>
      <c r="KL35" s="107"/>
      <c r="KM35" s="107"/>
      <c r="KN35" s="107"/>
      <c r="KO35" s="107"/>
      <c r="KP35" s="107"/>
      <c r="KQ35" s="107"/>
      <c r="KR35" s="107"/>
      <c r="KS35" s="107"/>
      <c r="KT35" s="107"/>
      <c r="KU35" s="107"/>
      <c r="KV35" s="107"/>
      <c r="KW35" s="107"/>
      <c r="KX35" s="107"/>
      <c r="KY35" s="107"/>
      <c r="KZ35" s="107"/>
      <c r="LA35" s="107"/>
      <c r="LB35" s="107"/>
      <c r="LC35" s="107"/>
      <c r="LD35" s="107"/>
      <c r="LE35" s="107"/>
      <c r="LF35" s="107"/>
      <c r="LG35" s="107"/>
      <c r="LH35" s="107"/>
      <c r="LI35" s="107"/>
      <c r="LJ35" s="107"/>
      <c r="LK35" s="107"/>
      <c r="LL35" s="107"/>
      <c r="LM35" s="107"/>
      <c r="LN35" s="107"/>
      <c r="LO35" s="107"/>
      <c r="LP35" s="107"/>
      <c r="LQ35" s="107"/>
      <c r="LR35" s="107"/>
      <c r="LS35" s="107"/>
      <c r="LT35" s="107"/>
      <c r="LU35" s="107"/>
      <c r="LV35" s="107"/>
      <c r="LW35" s="107"/>
      <c r="LX35" s="107"/>
      <c r="LY35" s="107"/>
      <c r="LZ35" s="107"/>
      <c r="MA35" s="107"/>
      <c r="MB35" s="107"/>
      <c r="MC35" s="107"/>
      <c r="MD35" s="107"/>
      <c r="ME35" s="107"/>
      <c r="MF35" s="107"/>
      <c r="MG35" s="107"/>
      <c r="MH35" s="107"/>
      <c r="MI35" s="107"/>
      <c r="MJ35" s="107"/>
      <c r="MK35" s="107"/>
      <c r="ML35" s="107"/>
      <c r="MM35" s="107"/>
      <c r="MN35" s="107"/>
      <c r="MO35" s="107"/>
      <c r="MP35" s="107"/>
      <c r="MQ35" s="107"/>
      <c r="MR35" s="107"/>
      <c r="MS35" s="107"/>
      <c r="MT35" s="107"/>
      <c r="MU35" s="107"/>
      <c r="MV35" s="107"/>
      <c r="MW35" s="107"/>
      <c r="MX35" s="107"/>
      <c r="MY35" s="107"/>
      <c r="MZ35" s="107"/>
    </row>
    <row r="36" spans="5:364" ht="15.75" customHeight="1">
      <c r="E36"/>
      <c r="AJ36"/>
      <c r="AK36"/>
      <c r="AL36"/>
      <c r="AM36" s="110"/>
      <c r="AN36" s="110"/>
      <c r="AO36" s="110"/>
      <c r="AP36" s="110"/>
      <c r="AQ36" s="110"/>
      <c r="AR36" s="110"/>
      <c r="AS36" s="110"/>
      <c r="AT36" s="110"/>
      <c r="AU36" s="110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  <c r="DC36" s="107"/>
      <c r="DD36" s="107"/>
      <c r="DE36" s="107"/>
      <c r="DF36" s="107"/>
      <c r="DG36" s="107"/>
      <c r="DH36" s="107"/>
      <c r="DI36" s="107"/>
      <c r="DJ36" s="107"/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U36" s="107"/>
      <c r="DV36" s="107"/>
      <c r="DW36" s="107"/>
      <c r="DX36" s="107"/>
      <c r="DY36" s="107"/>
      <c r="DZ36" s="107"/>
      <c r="EA36" s="107"/>
      <c r="EB36" s="107"/>
      <c r="EC36" s="107"/>
      <c r="ED36" s="107"/>
      <c r="EE36" s="107"/>
      <c r="EF36" s="107"/>
      <c r="EG36" s="107"/>
      <c r="EH36" s="107"/>
      <c r="EI36" s="107"/>
      <c r="EJ36" s="107"/>
      <c r="EK36" s="107"/>
      <c r="EL36" s="107"/>
      <c r="EM36" s="107"/>
      <c r="EN36" s="107"/>
      <c r="EO36" s="107"/>
      <c r="EP36" s="107"/>
      <c r="EQ36" s="107"/>
      <c r="ER36" s="107"/>
      <c r="ES36" s="107"/>
      <c r="ET36" s="107"/>
      <c r="EU36" s="107"/>
      <c r="EV36" s="107"/>
      <c r="EW36" s="107"/>
      <c r="EX36" s="107"/>
      <c r="EY36" s="107"/>
      <c r="EZ36" s="107"/>
      <c r="FA36" s="107"/>
      <c r="FB36" s="107"/>
      <c r="FC36" s="107"/>
      <c r="FD36" s="107"/>
      <c r="FE36" s="107"/>
      <c r="FF36" s="107"/>
      <c r="FG36" s="107"/>
      <c r="FH36" s="107"/>
      <c r="FI36" s="107"/>
      <c r="FJ36" s="107"/>
      <c r="FK36" s="107"/>
      <c r="FL36" s="107"/>
      <c r="FM36" s="107"/>
      <c r="FN36" s="107"/>
      <c r="FO36" s="107"/>
      <c r="FP36" s="107"/>
      <c r="FQ36" s="107"/>
      <c r="FR36" s="107"/>
      <c r="FS36" s="107"/>
      <c r="FT36" s="107"/>
      <c r="FU36" s="107"/>
      <c r="FV36" s="107"/>
      <c r="FW36" s="107"/>
      <c r="FX36" s="107"/>
      <c r="FY36" s="107"/>
      <c r="FZ36" s="107"/>
      <c r="GA36" s="107"/>
      <c r="GB36" s="107"/>
      <c r="GC36" s="107"/>
      <c r="GD36" s="107"/>
      <c r="GE36" s="107"/>
      <c r="GF36" s="107"/>
      <c r="GG36" s="107"/>
      <c r="GH36" s="107"/>
      <c r="GI36" s="107"/>
      <c r="GJ36" s="107"/>
      <c r="GK36" s="107"/>
      <c r="GL36" s="107"/>
      <c r="GM36" s="107"/>
      <c r="GN36" s="107"/>
      <c r="GO36" s="107"/>
      <c r="GP36" s="107"/>
      <c r="GQ36" s="107"/>
      <c r="GR36" s="107"/>
      <c r="GS36" s="107"/>
      <c r="GT36" s="107"/>
      <c r="GU36" s="107"/>
      <c r="GV36" s="107"/>
      <c r="GW36" s="107"/>
      <c r="GX36" s="107"/>
      <c r="GY36" s="107"/>
      <c r="GZ36" s="107"/>
      <c r="HA36" s="107"/>
      <c r="HB36" s="107"/>
      <c r="HC36" s="107"/>
      <c r="HD36" s="107"/>
      <c r="HE36" s="107"/>
      <c r="HF36" s="107"/>
      <c r="HG36" s="107"/>
      <c r="HH36" s="107"/>
      <c r="HI36" s="107"/>
      <c r="HJ36" s="107"/>
      <c r="HK36" s="107"/>
      <c r="HL36" s="107"/>
      <c r="HM36" s="107"/>
      <c r="HN36" s="107"/>
      <c r="HO36" s="107"/>
      <c r="HP36" s="107"/>
      <c r="HQ36" s="107"/>
      <c r="HR36" s="107"/>
      <c r="HS36" s="107"/>
      <c r="HT36" s="107"/>
      <c r="HU36" s="107"/>
      <c r="HV36" s="107"/>
      <c r="HW36" s="107"/>
      <c r="HX36" s="107"/>
      <c r="HY36" s="107"/>
      <c r="HZ36" s="107"/>
      <c r="IA36" s="107"/>
      <c r="IB36" s="107"/>
      <c r="IC36" s="107"/>
      <c r="ID36" s="107"/>
      <c r="IE36" s="107"/>
      <c r="IF36" s="107"/>
      <c r="IG36" s="107"/>
      <c r="IH36" s="107"/>
      <c r="II36" s="107"/>
      <c r="IJ36" s="107"/>
      <c r="IK36" s="107"/>
      <c r="IL36" s="107"/>
      <c r="IM36" s="107"/>
      <c r="IN36" s="107"/>
      <c r="IO36" s="107"/>
      <c r="IP36" s="107"/>
      <c r="IQ36" s="107"/>
      <c r="IR36" s="107"/>
      <c r="IS36" s="107"/>
      <c r="IT36" s="107"/>
      <c r="IU36" s="107"/>
      <c r="IV36" s="107"/>
      <c r="IW36" s="107"/>
      <c r="IX36" s="107"/>
      <c r="IY36" s="107"/>
      <c r="IZ36" s="107"/>
      <c r="JA36" s="107"/>
      <c r="JB36" s="107"/>
      <c r="JC36" s="107"/>
      <c r="JD36" s="107"/>
      <c r="JE36" s="107"/>
      <c r="JF36" s="107"/>
      <c r="JG36" s="107"/>
      <c r="JH36" s="107"/>
      <c r="JI36" s="107"/>
      <c r="JJ36" s="107"/>
      <c r="JK36" s="107"/>
      <c r="JL36" s="107"/>
      <c r="JM36" s="107"/>
      <c r="JN36" s="107"/>
      <c r="JO36" s="107"/>
      <c r="JP36" s="107"/>
      <c r="JQ36" s="107"/>
      <c r="JR36" s="107"/>
      <c r="JS36" s="107"/>
      <c r="JT36" s="107"/>
      <c r="JU36" s="107"/>
      <c r="JV36" s="107"/>
      <c r="JW36" s="107"/>
      <c r="JX36" s="107"/>
      <c r="JY36" s="107"/>
      <c r="JZ36" s="107"/>
      <c r="KA36" s="107"/>
      <c r="KB36" s="107"/>
      <c r="KC36" s="107"/>
      <c r="KD36" s="107"/>
      <c r="KE36" s="107"/>
      <c r="KF36" s="107"/>
      <c r="KG36" s="107"/>
      <c r="KH36" s="107"/>
      <c r="KI36" s="107"/>
      <c r="KJ36" s="107"/>
      <c r="KK36" s="107"/>
      <c r="KL36" s="107"/>
      <c r="KM36" s="107"/>
      <c r="KN36" s="107"/>
      <c r="KO36" s="107"/>
      <c r="KP36" s="107"/>
      <c r="KQ36" s="107"/>
      <c r="KR36" s="107"/>
      <c r="KS36" s="107"/>
      <c r="KT36" s="107"/>
      <c r="KU36" s="107"/>
      <c r="KV36" s="107"/>
      <c r="KW36" s="107"/>
      <c r="KX36" s="107"/>
      <c r="KY36" s="107"/>
      <c r="KZ36" s="107"/>
      <c r="LA36" s="107"/>
      <c r="LB36" s="107"/>
      <c r="LC36" s="107"/>
      <c r="LD36" s="107"/>
      <c r="LE36" s="107"/>
      <c r="LF36" s="107"/>
      <c r="LG36" s="107"/>
      <c r="LH36" s="107"/>
      <c r="LI36" s="107"/>
      <c r="LJ36" s="107"/>
      <c r="LK36" s="107"/>
      <c r="LL36" s="107"/>
      <c r="LM36" s="107"/>
      <c r="LN36" s="107"/>
      <c r="LO36" s="107"/>
      <c r="LP36" s="107"/>
      <c r="LQ36" s="107"/>
      <c r="LR36" s="107"/>
      <c r="LS36" s="107"/>
      <c r="LT36" s="107"/>
      <c r="LU36" s="107"/>
      <c r="LV36" s="107"/>
      <c r="LW36" s="107"/>
      <c r="LX36" s="107"/>
      <c r="LY36" s="107"/>
      <c r="LZ36" s="107"/>
      <c r="MA36" s="107"/>
      <c r="MB36" s="107"/>
      <c r="MC36" s="107"/>
      <c r="MD36" s="107"/>
      <c r="ME36" s="107"/>
      <c r="MF36" s="107"/>
      <c r="MG36" s="107"/>
      <c r="MH36" s="107"/>
      <c r="MI36" s="107"/>
      <c r="MJ36" s="107"/>
      <c r="MK36" s="107"/>
      <c r="ML36" s="107"/>
      <c r="MM36" s="107"/>
      <c r="MN36" s="107"/>
      <c r="MO36" s="107"/>
      <c r="MP36" s="107"/>
      <c r="MQ36" s="107"/>
      <c r="MR36" s="107"/>
      <c r="MS36" s="107"/>
      <c r="MT36" s="107"/>
      <c r="MU36" s="107"/>
      <c r="MV36" s="107"/>
      <c r="MW36" s="107"/>
      <c r="MX36" s="107"/>
      <c r="MY36" s="107"/>
      <c r="MZ36" s="107"/>
    </row>
    <row r="37" spans="5:364" ht="15.75" customHeight="1">
      <c r="AJ37"/>
      <c r="AK37"/>
      <c r="AL37"/>
      <c r="AM37" s="110"/>
      <c r="AN37" s="110"/>
      <c r="AO37" s="110"/>
      <c r="AP37" s="110"/>
      <c r="AQ37" s="110"/>
      <c r="AR37" s="110"/>
      <c r="AS37" s="110"/>
      <c r="AT37" s="110"/>
      <c r="AU37" s="110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  <c r="DC37" s="107"/>
      <c r="DD37" s="107"/>
      <c r="DE37" s="107"/>
      <c r="DF37" s="107"/>
      <c r="DG37" s="107"/>
      <c r="DH37" s="107"/>
      <c r="DI37" s="107"/>
      <c r="DJ37" s="107"/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U37" s="107"/>
      <c r="DV37" s="107"/>
      <c r="DW37" s="107"/>
      <c r="DX37" s="107"/>
      <c r="DY37" s="107"/>
      <c r="DZ37" s="107"/>
      <c r="EA37" s="107"/>
      <c r="EB37" s="107"/>
      <c r="EC37" s="107"/>
      <c r="ED37" s="107"/>
      <c r="EE37" s="107"/>
      <c r="EF37" s="107"/>
      <c r="EG37" s="107"/>
      <c r="EH37" s="107"/>
      <c r="EI37" s="107"/>
      <c r="EJ37" s="107"/>
      <c r="EK37" s="107"/>
      <c r="EL37" s="107"/>
      <c r="EM37" s="107"/>
      <c r="EN37" s="107"/>
      <c r="EO37" s="107"/>
      <c r="EP37" s="107"/>
      <c r="EQ37" s="107"/>
      <c r="ER37" s="107"/>
      <c r="ES37" s="107"/>
      <c r="ET37" s="107"/>
      <c r="EU37" s="107"/>
      <c r="EV37" s="107"/>
      <c r="EW37" s="107"/>
      <c r="EX37" s="107"/>
      <c r="EY37" s="107"/>
      <c r="EZ37" s="107"/>
      <c r="FA37" s="107"/>
      <c r="FB37" s="107"/>
      <c r="FC37" s="107"/>
      <c r="FD37" s="107"/>
      <c r="FE37" s="107"/>
      <c r="FF37" s="107"/>
      <c r="FG37" s="107"/>
      <c r="FH37" s="107"/>
      <c r="FI37" s="107"/>
      <c r="FJ37" s="107"/>
      <c r="FK37" s="107"/>
      <c r="FL37" s="107"/>
      <c r="FM37" s="107"/>
      <c r="FN37" s="107"/>
      <c r="FO37" s="107"/>
      <c r="FP37" s="107"/>
      <c r="FQ37" s="107"/>
      <c r="FR37" s="107"/>
      <c r="FS37" s="107"/>
      <c r="FT37" s="107"/>
      <c r="FU37" s="107"/>
      <c r="FV37" s="107"/>
      <c r="FW37" s="107"/>
      <c r="FX37" s="107"/>
      <c r="FY37" s="107"/>
      <c r="FZ37" s="107"/>
      <c r="GA37" s="107"/>
      <c r="GB37" s="107"/>
      <c r="GC37" s="107"/>
      <c r="GD37" s="107"/>
      <c r="GE37" s="107"/>
      <c r="GF37" s="107"/>
      <c r="GG37" s="107"/>
      <c r="GH37" s="107"/>
      <c r="GI37" s="107"/>
      <c r="GJ37" s="107"/>
      <c r="GK37" s="107"/>
      <c r="GL37" s="107"/>
      <c r="GM37" s="107"/>
      <c r="GN37" s="107"/>
      <c r="GO37" s="107"/>
      <c r="GP37" s="107"/>
      <c r="GQ37" s="107"/>
      <c r="GR37" s="107"/>
      <c r="GS37" s="107"/>
      <c r="GT37" s="107"/>
      <c r="GU37" s="107"/>
      <c r="GV37" s="107"/>
      <c r="GW37" s="107"/>
      <c r="GX37" s="107"/>
      <c r="GY37" s="107"/>
      <c r="GZ37" s="107"/>
      <c r="HA37" s="107"/>
      <c r="HB37" s="107"/>
      <c r="HC37" s="107"/>
      <c r="HD37" s="107"/>
      <c r="HE37" s="107"/>
      <c r="HF37" s="107"/>
      <c r="HG37" s="107"/>
      <c r="HH37" s="107"/>
      <c r="HI37" s="107"/>
      <c r="HJ37" s="107"/>
      <c r="HK37" s="107"/>
      <c r="HL37" s="107"/>
      <c r="HM37" s="107"/>
      <c r="HN37" s="107"/>
      <c r="HO37" s="107"/>
      <c r="HP37" s="107"/>
      <c r="HQ37" s="107"/>
      <c r="HR37" s="107"/>
      <c r="HS37" s="107"/>
      <c r="HT37" s="107"/>
      <c r="HU37" s="107"/>
      <c r="HV37" s="107"/>
      <c r="HW37" s="107"/>
      <c r="HX37" s="107"/>
      <c r="HY37" s="107"/>
      <c r="HZ37" s="107"/>
      <c r="IA37" s="107"/>
      <c r="IB37" s="107"/>
      <c r="IC37" s="107"/>
      <c r="ID37" s="107"/>
      <c r="IE37" s="107"/>
      <c r="IF37" s="107"/>
      <c r="IG37" s="107"/>
      <c r="IH37" s="107"/>
      <c r="II37" s="107"/>
      <c r="IJ37" s="107"/>
      <c r="IK37" s="107"/>
      <c r="IL37" s="107"/>
      <c r="IM37" s="107"/>
      <c r="IN37" s="107"/>
      <c r="IO37" s="107"/>
      <c r="IP37" s="107"/>
      <c r="IQ37" s="107"/>
      <c r="IR37" s="107"/>
      <c r="IS37" s="107"/>
      <c r="IT37" s="107"/>
      <c r="IU37" s="107"/>
      <c r="IV37" s="107"/>
      <c r="IW37" s="107"/>
      <c r="IX37" s="107"/>
      <c r="IY37" s="107"/>
      <c r="IZ37" s="107"/>
      <c r="JA37" s="107"/>
      <c r="JB37" s="107"/>
      <c r="JC37" s="107"/>
      <c r="JD37" s="107"/>
      <c r="JE37" s="107"/>
      <c r="JF37" s="107"/>
      <c r="JG37" s="107"/>
      <c r="JH37" s="107"/>
      <c r="JI37" s="107"/>
      <c r="JJ37" s="107"/>
      <c r="JK37" s="107"/>
      <c r="JL37" s="107"/>
      <c r="JM37" s="107"/>
      <c r="JN37" s="107"/>
      <c r="JO37" s="107"/>
      <c r="JP37" s="107"/>
      <c r="JQ37" s="107"/>
      <c r="JR37" s="107"/>
      <c r="JS37" s="107"/>
      <c r="JT37" s="107"/>
      <c r="JU37" s="107"/>
      <c r="JV37" s="107"/>
      <c r="JW37" s="107"/>
      <c r="JX37" s="107"/>
      <c r="JY37" s="107"/>
      <c r="JZ37" s="107"/>
      <c r="KA37" s="107"/>
      <c r="KB37" s="107"/>
      <c r="KC37" s="107"/>
      <c r="KD37" s="107"/>
      <c r="KE37" s="107"/>
      <c r="KF37" s="107"/>
      <c r="KG37" s="107"/>
      <c r="KH37" s="107"/>
      <c r="KI37" s="107"/>
      <c r="KJ37" s="107"/>
      <c r="KK37" s="107"/>
      <c r="KL37" s="107"/>
      <c r="KM37" s="107"/>
      <c r="KN37" s="107"/>
      <c r="KO37" s="107"/>
      <c r="KP37" s="107"/>
      <c r="KQ37" s="107"/>
      <c r="KR37" s="107"/>
      <c r="KS37" s="107"/>
      <c r="KT37" s="107"/>
      <c r="KU37" s="107"/>
      <c r="KV37" s="107"/>
      <c r="KW37" s="107"/>
      <c r="KX37" s="107"/>
      <c r="KY37" s="107"/>
      <c r="KZ37" s="107"/>
      <c r="LA37" s="107"/>
      <c r="LB37" s="107"/>
      <c r="LC37" s="107"/>
      <c r="LD37" s="107"/>
      <c r="LE37" s="107"/>
      <c r="LF37" s="107"/>
      <c r="LG37" s="107"/>
      <c r="LH37" s="107"/>
      <c r="LI37" s="107"/>
      <c r="LJ37" s="107"/>
      <c r="LK37" s="107"/>
      <c r="LL37" s="107"/>
      <c r="LM37" s="107"/>
      <c r="LN37" s="107"/>
      <c r="LO37" s="107"/>
      <c r="LP37" s="107"/>
      <c r="LQ37" s="107"/>
      <c r="LR37" s="107"/>
      <c r="LS37" s="107"/>
      <c r="LT37" s="107"/>
      <c r="LU37" s="107"/>
      <c r="LV37" s="107"/>
      <c r="LW37" s="107"/>
      <c r="LX37" s="107"/>
      <c r="LY37" s="107"/>
      <c r="LZ37" s="107"/>
      <c r="MA37" s="107"/>
      <c r="MB37" s="107"/>
      <c r="MC37" s="107"/>
      <c r="MD37" s="107"/>
      <c r="ME37" s="107"/>
      <c r="MF37" s="107"/>
      <c r="MG37" s="107"/>
      <c r="MH37" s="107"/>
      <c r="MI37" s="107"/>
      <c r="MJ37" s="107"/>
      <c r="MK37" s="107"/>
      <c r="ML37" s="107"/>
      <c r="MM37" s="107"/>
      <c r="MN37" s="107"/>
      <c r="MO37" s="107"/>
      <c r="MP37" s="107"/>
      <c r="MQ37" s="107"/>
      <c r="MR37" s="107"/>
      <c r="MS37" s="107"/>
      <c r="MT37" s="107"/>
      <c r="MU37" s="107"/>
      <c r="MV37" s="107"/>
      <c r="MW37" s="107"/>
      <c r="MX37" s="107"/>
      <c r="MY37" s="107"/>
      <c r="MZ37" s="107"/>
    </row>
    <row r="38" spans="5:364" ht="15.75" customHeight="1">
      <c r="AJ38"/>
      <c r="AK38"/>
      <c r="AL38"/>
      <c r="AM38" s="110"/>
      <c r="AN38" s="110"/>
      <c r="AO38" s="110"/>
      <c r="AP38" s="110"/>
      <c r="AQ38" s="110"/>
      <c r="AR38" s="110"/>
      <c r="AS38" s="110"/>
      <c r="AT38" s="110"/>
      <c r="AU38" s="110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  <c r="DC38" s="107"/>
      <c r="DD38" s="107"/>
      <c r="DE38" s="107"/>
      <c r="DF38" s="107"/>
      <c r="DG38" s="107"/>
      <c r="DH38" s="107"/>
      <c r="DI38" s="107"/>
      <c r="DJ38" s="107"/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U38" s="107"/>
      <c r="DV38" s="107"/>
      <c r="DW38" s="107"/>
      <c r="DX38" s="107"/>
      <c r="DY38" s="107"/>
      <c r="DZ38" s="107"/>
      <c r="EA38" s="107"/>
      <c r="EB38" s="107"/>
      <c r="EC38" s="107"/>
      <c r="ED38" s="107"/>
      <c r="EE38" s="107"/>
      <c r="EF38" s="107"/>
      <c r="EG38" s="107"/>
      <c r="EH38" s="107"/>
      <c r="EI38" s="107"/>
      <c r="EJ38" s="107"/>
      <c r="EK38" s="107"/>
      <c r="EL38" s="107"/>
      <c r="EM38" s="107"/>
      <c r="EN38" s="107"/>
      <c r="EO38" s="107"/>
      <c r="EP38" s="107"/>
      <c r="EQ38" s="107"/>
      <c r="ER38" s="107"/>
      <c r="ES38" s="107"/>
      <c r="ET38" s="107"/>
      <c r="EU38" s="107"/>
      <c r="EV38" s="107"/>
      <c r="EW38" s="107"/>
      <c r="EX38" s="107"/>
      <c r="EY38" s="107"/>
      <c r="EZ38" s="107"/>
      <c r="FA38" s="107"/>
      <c r="FB38" s="107"/>
      <c r="FC38" s="107"/>
      <c r="FD38" s="107"/>
      <c r="FE38" s="107"/>
      <c r="FF38" s="107"/>
      <c r="FG38" s="107"/>
      <c r="FH38" s="107"/>
      <c r="FI38" s="107"/>
      <c r="FJ38" s="107"/>
      <c r="FK38" s="107"/>
      <c r="FL38" s="107"/>
      <c r="FM38" s="107"/>
      <c r="FN38" s="107"/>
      <c r="FO38" s="107"/>
      <c r="FP38" s="107"/>
      <c r="FQ38" s="107"/>
      <c r="FR38" s="107"/>
      <c r="FS38" s="107"/>
      <c r="FT38" s="107"/>
      <c r="FU38" s="107"/>
      <c r="FV38" s="107"/>
      <c r="FW38" s="107"/>
      <c r="FX38" s="107"/>
      <c r="FY38" s="107"/>
      <c r="FZ38" s="107"/>
      <c r="GA38" s="107"/>
      <c r="GB38" s="107"/>
      <c r="GC38" s="107"/>
      <c r="GD38" s="107"/>
      <c r="GE38" s="107"/>
      <c r="GF38" s="107"/>
      <c r="GG38" s="107"/>
      <c r="GH38" s="107"/>
      <c r="GI38" s="107"/>
      <c r="GJ38" s="107"/>
      <c r="GK38" s="107"/>
      <c r="GL38" s="107"/>
      <c r="GM38" s="107"/>
      <c r="GN38" s="107"/>
      <c r="GO38" s="107"/>
      <c r="GP38" s="107"/>
      <c r="GQ38" s="107"/>
      <c r="GR38" s="107"/>
      <c r="GS38" s="107"/>
      <c r="GT38" s="107"/>
      <c r="GU38" s="107"/>
      <c r="GV38" s="107"/>
      <c r="GW38" s="107"/>
      <c r="GX38" s="107"/>
      <c r="GY38" s="107"/>
      <c r="GZ38" s="107"/>
      <c r="HA38" s="107"/>
      <c r="HB38" s="107"/>
      <c r="HC38" s="107"/>
      <c r="HD38" s="107"/>
      <c r="HE38" s="107"/>
      <c r="HF38" s="107"/>
      <c r="HG38" s="107"/>
      <c r="HH38" s="107"/>
      <c r="HI38" s="107"/>
      <c r="HJ38" s="107"/>
      <c r="HK38" s="107"/>
      <c r="HL38" s="107"/>
      <c r="HM38" s="107"/>
      <c r="HN38" s="107"/>
      <c r="HO38" s="107"/>
      <c r="HP38" s="107"/>
      <c r="HQ38" s="107"/>
      <c r="HR38" s="107"/>
      <c r="HS38" s="107"/>
      <c r="HT38" s="107"/>
      <c r="HU38" s="107"/>
      <c r="HV38" s="107"/>
      <c r="HW38" s="107"/>
      <c r="HX38" s="107"/>
      <c r="HY38" s="107"/>
      <c r="HZ38" s="107"/>
      <c r="IA38" s="107"/>
      <c r="IB38" s="107"/>
      <c r="IC38" s="107"/>
      <c r="ID38" s="107"/>
      <c r="IE38" s="107"/>
      <c r="IF38" s="107"/>
      <c r="IG38" s="107"/>
      <c r="IH38" s="107"/>
      <c r="II38" s="107"/>
      <c r="IJ38" s="107"/>
      <c r="IK38" s="107"/>
      <c r="IL38" s="107"/>
      <c r="IM38" s="107"/>
      <c r="IN38" s="107"/>
      <c r="IO38" s="107"/>
      <c r="IP38" s="107"/>
      <c r="IQ38" s="107"/>
      <c r="IR38" s="107"/>
      <c r="IS38" s="107"/>
      <c r="IT38" s="107"/>
      <c r="IU38" s="107"/>
      <c r="IV38" s="107"/>
      <c r="IW38" s="107"/>
      <c r="IX38" s="107"/>
      <c r="IY38" s="107"/>
      <c r="IZ38" s="107"/>
      <c r="JA38" s="107"/>
      <c r="JB38" s="107"/>
      <c r="JC38" s="107"/>
      <c r="JD38" s="107"/>
      <c r="JE38" s="107"/>
      <c r="JF38" s="107"/>
      <c r="JG38" s="107"/>
      <c r="JH38" s="107"/>
      <c r="JI38" s="107"/>
      <c r="JJ38" s="107"/>
      <c r="JK38" s="107"/>
      <c r="JL38" s="107"/>
      <c r="JM38" s="107"/>
      <c r="JN38" s="107"/>
      <c r="JO38" s="107"/>
      <c r="JP38" s="107"/>
      <c r="JQ38" s="107"/>
      <c r="JR38" s="107"/>
      <c r="JS38" s="107"/>
      <c r="JT38" s="107"/>
      <c r="JU38" s="107"/>
      <c r="JV38" s="107"/>
      <c r="JW38" s="107"/>
      <c r="JX38" s="107"/>
      <c r="JY38" s="107"/>
      <c r="JZ38" s="107"/>
      <c r="KA38" s="107"/>
      <c r="KB38" s="107"/>
      <c r="KC38" s="107"/>
      <c r="KD38" s="107"/>
      <c r="KE38" s="107"/>
      <c r="KF38" s="107"/>
      <c r="KG38" s="107"/>
      <c r="KH38" s="107"/>
      <c r="KI38" s="107"/>
      <c r="KJ38" s="107"/>
      <c r="KK38" s="107"/>
      <c r="KL38" s="107"/>
      <c r="KM38" s="107"/>
      <c r="KN38" s="107"/>
      <c r="KO38" s="107"/>
      <c r="KP38" s="107"/>
      <c r="KQ38" s="107"/>
      <c r="KR38" s="107"/>
      <c r="KS38" s="107"/>
      <c r="KT38" s="107"/>
      <c r="KU38" s="107"/>
      <c r="KV38" s="107"/>
      <c r="KW38" s="107"/>
      <c r="KX38" s="107"/>
      <c r="KY38" s="107"/>
      <c r="KZ38" s="107"/>
      <c r="LA38" s="107"/>
      <c r="LB38" s="107"/>
      <c r="LC38" s="107"/>
      <c r="LD38" s="107"/>
      <c r="LE38" s="107"/>
      <c r="LF38" s="107"/>
      <c r="LG38" s="107"/>
      <c r="LH38" s="107"/>
      <c r="LI38" s="107"/>
      <c r="LJ38" s="107"/>
      <c r="LK38" s="107"/>
      <c r="LL38" s="107"/>
      <c r="LM38" s="107"/>
      <c r="LN38" s="107"/>
      <c r="LO38" s="107"/>
      <c r="LP38" s="107"/>
      <c r="LQ38" s="107"/>
      <c r="LR38" s="107"/>
      <c r="LS38" s="107"/>
      <c r="LT38" s="107"/>
      <c r="LU38" s="107"/>
      <c r="LV38" s="107"/>
      <c r="LW38" s="107"/>
      <c r="LX38" s="107"/>
      <c r="LY38" s="107"/>
      <c r="LZ38" s="107"/>
      <c r="MA38" s="107"/>
      <c r="MB38" s="107"/>
      <c r="MC38" s="107"/>
      <c r="MD38" s="107"/>
      <c r="ME38" s="107"/>
      <c r="MF38" s="107"/>
      <c r="MG38" s="107"/>
      <c r="MH38" s="107"/>
      <c r="MI38" s="107"/>
      <c r="MJ38" s="107"/>
      <c r="MK38" s="107"/>
      <c r="ML38" s="107"/>
      <c r="MM38" s="107"/>
      <c r="MN38" s="107"/>
      <c r="MO38" s="107"/>
      <c r="MP38" s="107"/>
      <c r="MQ38" s="107"/>
      <c r="MR38" s="107"/>
      <c r="MS38" s="107"/>
      <c r="MT38" s="107"/>
      <c r="MU38" s="107"/>
      <c r="MV38" s="107"/>
      <c r="MW38" s="107"/>
      <c r="MX38" s="107"/>
      <c r="MY38" s="107"/>
      <c r="MZ38" s="107"/>
    </row>
    <row r="39" spans="5:364" ht="15.75" customHeight="1">
      <c r="AJ39"/>
      <c r="AK39"/>
      <c r="AL39"/>
      <c r="AM39" s="110"/>
      <c r="AN39" s="110"/>
      <c r="AO39" s="110"/>
      <c r="AP39" s="110"/>
      <c r="AQ39" s="110"/>
      <c r="AR39" s="110"/>
      <c r="AS39" s="110"/>
      <c r="AT39" s="110"/>
      <c r="AU39" s="110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  <c r="DC39" s="107"/>
      <c r="DD39" s="107"/>
      <c r="DE39" s="107"/>
      <c r="DF39" s="107"/>
      <c r="DG39" s="107"/>
      <c r="DH39" s="107"/>
      <c r="DI39" s="107"/>
      <c r="DJ39" s="107"/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U39" s="107"/>
      <c r="DV39" s="107"/>
      <c r="DW39" s="107"/>
      <c r="DX39" s="107"/>
      <c r="DY39" s="107"/>
      <c r="DZ39" s="107"/>
      <c r="EA39" s="107"/>
      <c r="EB39" s="107"/>
      <c r="EC39" s="107"/>
      <c r="ED39" s="107"/>
      <c r="EE39" s="107"/>
      <c r="EF39" s="107"/>
      <c r="EG39" s="107"/>
      <c r="EH39" s="107"/>
      <c r="EI39" s="107"/>
      <c r="EJ39" s="107"/>
      <c r="EK39" s="107"/>
      <c r="EL39" s="107"/>
      <c r="EM39" s="107"/>
      <c r="EN39" s="107"/>
      <c r="EO39" s="107"/>
      <c r="EP39" s="107"/>
      <c r="EQ39" s="107"/>
      <c r="ER39" s="107"/>
      <c r="ES39" s="107"/>
      <c r="ET39" s="107"/>
      <c r="EU39" s="107"/>
      <c r="EV39" s="107"/>
      <c r="EW39" s="107"/>
      <c r="EX39" s="107"/>
      <c r="EY39" s="107"/>
      <c r="EZ39" s="107"/>
      <c r="FA39" s="107"/>
      <c r="FB39" s="107"/>
      <c r="FC39" s="107"/>
      <c r="FD39" s="107"/>
      <c r="FE39" s="107"/>
      <c r="FF39" s="107"/>
      <c r="FG39" s="107"/>
      <c r="FH39" s="107"/>
      <c r="FI39" s="107"/>
      <c r="FJ39" s="107"/>
      <c r="FK39" s="107"/>
      <c r="FL39" s="107"/>
      <c r="FM39" s="107"/>
      <c r="FN39" s="107"/>
      <c r="FO39" s="107"/>
      <c r="FP39" s="107"/>
      <c r="FQ39" s="107"/>
      <c r="FR39" s="107"/>
      <c r="FS39" s="107"/>
      <c r="FT39" s="107"/>
      <c r="FU39" s="107"/>
      <c r="FV39" s="107"/>
      <c r="FW39" s="107"/>
      <c r="FX39" s="107"/>
      <c r="FY39" s="107"/>
      <c r="FZ39" s="107"/>
      <c r="GA39" s="107"/>
      <c r="GB39" s="107"/>
      <c r="GC39" s="107"/>
      <c r="GD39" s="107"/>
      <c r="GE39" s="107"/>
      <c r="GF39" s="107"/>
      <c r="GG39" s="107"/>
      <c r="GH39" s="107"/>
      <c r="GI39" s="107"/>
      <c r="GJ39" s="107"/>
      <c r="GK39" s="107"/>
      <c r="GL39" s="107"/>
      <c r="GM39" s="107"/>
      <c r="GN39" s="107"/>
      <c r="GO39" s="107"/>
      <c r="GP39" s="107"/>
      <c r="GQ39" s="107"/>
      <c r="GR39" s="107"/>
      <c r="GS39" s="107"/>
      <c r="GT39" s="107"/>
      <c r="GU39" s="107"/>
      <c r="GV39" s="107"/>
      <c r="GW39" s="107"/>
      <c r="GX39" s="107"/>
      <c r="GY39" s="107"/>
      <c r="GZ39" s="107"/>
      <c r="HA39" s="107"/>
      <c r="HB39" s="107"/>
      <c r="HC39" s="107"/>
      <c r="HD39" s="107"/>
      <c r="HE39" s="107"/>
      <c r="HF39" s="107"/>
      <c r="HG39" s="107"/>
      <c r="HH39" s="107"/>
      <c r="HI39" s="107"/>
      <c r="HJ39" s="107"/>
      <c r="HK39" s="107"/>
      <c r="HL39" s="107"/>
      <c r="HM39" s="107"/>
      <c r="HN39" s="107"/>
      <c r="HO39" s="107"/>
      <c r="HP39" s="107"/>
      <c r="HQ39" s="107"/>
      <c r="HR39" s="107"/>
      <c r="HS39" s="107"/>
      <c r="HT39" s="107"/>
      <c r="HU39" s="107"/>
      <c r="HV39" s="107"/>
      <c r="HW39" s="107"/>
      <c r="HX39" s="107"/>
      <c r="HY39" s="107"/>
      <c r="HZ39" s="107"/>
      <c r="IA39" s="107"/>
      <c r="IB39" s="107"/>
      <c r="IC39" s="107"/>
      <c r="ID39" s="107"/>
      <c r="IE39" s="107"/>
      <c r="IF39" s="107"/>
      <c r="IG39" s="107"/>
      <c r="IH39" s="107"/>
      <c r="II39" s="107"/>
      <c r="IJ39" s="107"/>
      <c r="IK39" s="107"/>
      <c r="IL39" s="107"/>
      <c r="IM39" s="107"/>
      <c r="IN39" s="107"/>
      <c r="IO39" s="107"/>
      <c r="IP39" s="107"/>
      <c r="IQ39" s="107"/>
      <c r="IR39" s="107"/>
      <c r="IS39" s="107"/>
      <c r="IT39" s="107"/>
      <c r="IU39" s="107"/>
      <c r="IV39" s="107"/>
      <c r="IW39" s="107"/>
      <c r="IX39" s="107"/>
      <c r="IY39" s="107"/>
      <c r="IZ39" s="107"/>
      <c r="JA39" s="107"/>
      <c r="JB39" s="107"/>
      <c r="JC39" s="107"/>
      <c r="JD39" s="107"/>
      <c r="JE39" s="107"/>
      <c r="JF39" s="107"/>
      <c r="JG39" s="107"/>
      <c r="JH39" s="107"/>
      <c r="JI39" s="107"/>
      <c r="JJ39" s="107"/>
      <c r="JK39" s="107"/>
      <c r="JL39" s="107"/>
      <c r="JM39" s="107"/>
      <c r="JN39" s="107"/>
      <c r="JO39" s="107"/>
      <c r="JP39" s="107"/>
      <c r="JQ39" s="107"/>
      <c r="JR39" s="107"/>
      <c r="JS39" s="107"/>
      <c r="JT39" s="107"/>
      <c r="JU39" s="107"/>
      <c r="JV39" s="107"/>
      <c r="JW39" s="107"/>
      <c r="JX39" s="107"/>
      <c r="JY39" s="107"/>
      <c r="JZ39" s="107"/>
      <c r="KA39" s="107"/>
      <c r="KB39" s="107"/>
      <c r="KC39" s="107"/>
      <c r="KD39" s="107"/>
      <c r="KE39" s="107"/>
      <c r="KF39" s="107"/>
      <c r="KG39" s="107"/>
      <c r="KH39" s="107"/>
      <c r="KI39" s="107"/>
      <c r="KJ39" s="107"/>
      <c r="KK39" s="107"/>
      <c r="KL39" s="107"/>
      <c r="KM39" s="107"/>
      <c r="KN39" s="107"/>
      <c r="KO39" s="107"/>
      <c r="KP39" s="107"/>
      <c r="KQ39" s="107"/>
      <c r="KR39" s="107"/>
      <c r="KS39" s="107"/>
      <c r="KT39" s="107"/>
      <c r="KU39" s="107"/>
      <c r="KV39" s="107"/>
      <c r="KW39" s="107"/>
      <c r="KX39" s="107"/>
      <c r="KY39" s="107"/>
      <c r="KZ39" s="107"/>
      <c r="LA39" s="107"/>
      <c r="LB39" s="107"/>
      <c r="LC39" s="107"/>
      <c r="LD39" s="107"/>
      <c r="LE39" s="107"/>
      <c r="LF39" s="107"/>
      <c r="LG39" s="107"/>
      <c r="LH39" s="107"/>
      <c r="LI39" s="107"/>
      <c r="LJ39" s="107"/>
      <c r="LK39" s="107"/>
      <c r="LL39" s="107"/>
      <c r="LM39" s="107"/>
      <c r="LN39" s="107"/>
      <c r="LO39" s="107"/>
      <c r="LP39" s="107"/>
      <c r="LQ39" s="107"/>
      <c r="LR39" s="107"/>
      <c r="LS39" s="107"/>
      <c r="LT39" s="107"/>
      <c r="LU39" s="107"/>
      <c r="LV39" s="107"/>
      <c r="LW39" s="107"/>
      <c r="LX39" s="107"/>
      <c r="LY39" s="107"/>
      <c r="LZ39" s="107"/>
      <c r="MA39" s="107"/>
      <c r="MB39" s="107"/>
      <c r="MC39" s="107"/>
      <c r="MD39" s="107"/>
      <c r="ME39" s="107"/>
      <c r="MF39" s="107"/>
      <c r="MG39" s="107"/>
      <c r="MH39" s="107"/>
      <c r="MI39" s="107"/>
      <c r="MJ39" s="107"/>
      <c r="MK39" s="107"/>
      <c r="ML39" s="107"/>
      <c r="MM39" s="107"/>
      <c r="MN39" s="107"/>
      <c r="MO39" s="107"/>
      <c r="MP39" s="107"/>
      <c r="MQ39" s="107"/>
      <c r="MR39" s="107"/>
      <c r="MS39" s="107"/>
      <c r="MT39" s="107"/>
      <c r="MU39" s="107"/>
      <c r="MV39" s="107"/>
      <c r="MW39" s="107"/>
      <c r="MX39" s="107"/>
      <c r="MY39" s="107"/>
      <c r="MZ39" s="107"/>
    </row>
    <row r="40" spans="5:364" ht="15.75" customHeight="1">
      <c r="AJ40"/>
      <c r="AK40"/>
      <c r="AL40"/>
      <c r="AM40" s="110"/>
      <c r="AN40" s="110"/>
      <c r="AO40" s="110"/>
      <c r="AP40" s="110"/>
      <c r="AQ40" s="110"/>
      <c r="AR40" s="110"/>
      <c r="AS40" s="110"/>
      <c r="AT40" s="110"/>
      <c r="AU40" s="110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  <c r="DC40" s="107"/>
      <c r="DD40" s="107"/>
      <c r="DE40" s="107"/>
      <c r="DF40" s="107"/>
      <c r="DG40" s="107"/>
      <c r="DH40" s="107"/>
      <c r="DI40" s="107"/>
      <c r="DJ40" s="107"/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U40" s="107"/>
      <c r="DV40" s="107"/>
      <c r="DW40" s="107"/>
      <c r="DX40" s="107"/>
      <c r="DY40" s="107"/>
      <c r="DZ40" s="107"/>
      <c r="EA40" s="107"/>
      <c r="EB40" s="107"/>
      <c r="EC40" s="107"/>
      <c r="ED40" s="107"/>
      <c r="EE40" s="107"/>
      <c r="EF40" s="107"/>
      <c r="EG40" s="107"/>
      <c r="EH40" s="107"/>
      <c r="EI40" s="107"/>
      <c r="EJ40" s="107"/>
      <c r="EK40" s="107"/>
      <c r="EL40" s="107"/>
      <c r="EM40" s="107"/>
      <c r="EN40" s="107"/>
      <c r="EO40" s="107"/>
      <c r="EP40" s="107"/>
      <c r="EQ40" s="107"/>
      <c r="ER40" s="107"/>
      <c r="ES40" s="107"/>
      <c r="ET40" s="107"/>
      <c r="EU40" s="107"/>
      <c r="EV40" s="107"/>
      <c r="EW40" s="107"/>
      <c r="EX40" s="107"/>
      <c r="EY40" s="107"/>
      <c r="EZ40" s="107"/>
      <c r="FA40" s="107"/>
      <c r="FB40" s="107"/>
      <c r="FC40" s="107"/>
      <c r="FD40" s="107"/>
      <c r="FE40" s="107"/>
      <c r="FF40" s="107"/>
      <c r="FG40" s="107"/>
      <c r="FH40" s="107"/>
      <c r="FI40" s="107"/>
      <c r="FJ40" s="107"/>
      <c r="FK40" s="107"/>
      <c r="FL40" s="107"/>
      <c r="FM40" s="107"/>
      <c r="FN40" s="107"/>
      <c r="FO40" s="107"/>
      <c r="FP40" s="107"/>
      <c r="FQ40" s="107"/>
      <c r="FR40" s="107"/>
      <c r="FS40" s="107"/>
      <c r="FT40" s="107"/>
      <c r="FU40" s="107"/>
      <c r="FV40" s="107"/>
      <c r="FW40" s="107"/>
      <c r="FX40" s="107"/>
      <c r="FY40" s="107"/>
      <c r="FZ40" s="107"/>
      <c r="GA40" s="107"/>
      <c r="GB40" s="107"/>
      <c r="GC40" s="107"/>
      <c r="GD40" s="107"/>
      <c r="GE40" s="107"/>
      <c r="GF40" s="107"/>
      <c r="GG40" s="107"/>
      <c r="GH40" s="107"/>
      <c r="GI40" s="107"/>
      <c r="GJ40" s="107"/>
      <c r="GK40" s="107"/>
      <c r="GL40" s="107"/>
      <c r="GM40" s="107"/>
      <c r="GN40" s="107"/>
      <c r="GO40" s="107"/>
      <c r="GP40" s="107"/>
      <c r="GQ40" s="107"/>
      <c r="GR40" s="107"/>
      <c r="GS40" s="107"/>
      <c r="GT40" s="107"/>
      <c r="GU40" s="107"/>
      <c r="GV40" s="107"/>
      <c r="GW40" s="107"/>
      <c r="GX40" s="107"/>
      <c r="GY40" s="107"/>
      <c r="GZ40" s="107"/>
      <c r="HA40" s="107"/>
      <c r="HB40" s="107"/>
      <c r="HC40" s="107"/>
      <c r="HD40" s="107"/>
      <c r="HE40" s="107"/>
      <c r="HF40" s="107"/>
      <c r="HG40" s="107"/>
      <c r="HH40" s="107"/>
      <c r="HI40" s="107"/>
      <c r="HJ40" s="107"/>
      <c r="HK40" s="107"/>
      <c r="HL40" s="107"/>
      <c r="HM40" s="107"/>
      <c r="HN40" s="107"/>
      <c r="HO40" s="107"/>
      <c r="HP40" s="107"/>
      <c r="HQ40" s="107"/>
      <c r="HR40" s="107"/>
      <c r="HS40" s="107"/>
      <c r="HT40" s="107"/>
      <c r="HU40" s="107"/>
      <c r="HV40" s="107"/>
      <c r="HW40" s="107"/>
      <c r="HX40" s="107"/>
      <c r="HY40" s="107"/>
      <c r="HZ40" s="107"/>
      <c r="IA40" s="107"/>
      <c r="IB40" s="107"/>
      <c r="IC40" s="107"/>
      <c r="ID40" s="107"/>
      <c r="IE40" s="107"/>
      <c r="IF40" s="107"/>
      <c r="IG40" s="107"/>
      <c r="IH40" s="107"/>
      <c r="II40" s="107"/>
      <c r="IJ40" s="107"/>
      <c r="IK40" s="107"/>
      <c r="IL40" s="107"/>
      <c r="IM40" s="107"/>
      <c r="IN40" s="107"/>
      <c r="IO40" s="107"/>
      <c r="IP40" s="107"/>
      <c r="IQ40" s="107"/>
      <c r="IR40" s="107"/>
      <c r="IS40" s="107"/>
      <c r="IT40" s="107"/>
      <c r="IU40" s="107"/>
      <c r="IV40" s="107"/>
      <c r="IW40" s="107"/>
      <c r="IX40" s="107"/>
      <c r="IY40" s="107"/>
      <c r="IZ40" s="107"/>
      <c r="JA40" s="107"/>
      <c r="JB40" s="107"/>
      <c r="JC40" s="107"/>
      <c r="JD40" s="107"/>
      <c r="JE40" s="107"/>
      <c r="JF40" s="107"/>
      <c r="JG40" s="107"/>
      <c r="JH40" s="107"/>
      <c r="JI40" s="107"/>
      <c r="JJ40" s="107"/>
      <c r="JK40" s="107"/>
      <c r="JL40" s="107"/>
      <c r="JM40" s="107"/>
      <c r="JN40" s="107"/>
      <c r="JO40" s="107"/>
      <c r="JP40" s="107"/>
      <c r="JQ40" s="107"/>
      <c r="JR40" s="107"/>
      <c r="JS40" s="107"/>
      <c r="JT40" s="107"/>
      <c r="JU40" s="107"/>
      <c r="JV40" s="107"/>
      <c r="JW40" s="107"/>
      <c r="JX40" s="107"/>
      <c r="JY40" s="107"/>
      <c r="JZ40" s="107"/>
      <c r="KA40" s="107"/>
      <c r="KB40" s="107"/>
      <c r="KC40" s="107"/>
      <c r="KD40" s="107"/>
      <c r="KE40" s="107"/>
      <c r="KF40" s="107"/>
      <c r="KG40" s="107"/>
      <c r="KH40" s="107"/>
      <c r="KI40" s="107"/>
      <c r="KJ40" s="107"/>
      <c r="KK40" s="107"/>
      <c r="KL40" s="107"/>
      <c r="KM40" s="107"/>
      <c r="KN40" s="107"/>
      <c r="KO40" s="107"/>
      <c r="KP40" s="107"/>
      <c r="KQ40" s="107"/>
      <c r="KR40" s="107"/>
      <c r="KS40" s="107"/>
      <c r="KT40" s="107"/>
      <c r="KU40" s="107"/>
      <c r="KV40" s="107"/>
      <c r="KW40" s="107"/>
      <c r="KX40" s="107"/>
      <c r="KY40" s="107"/>
      <c r="KZ40" s="107"/>
      <c r="LA40" s="107"/>
      <c r="LB40" s="107"/>
      <c r="LC40" s="107"/>
      <c r="LD40" s="107"/>
      <c r="LE40" s="107"/>
      <c r="LF40" s="107"/>
      <c r="LG40" s="107"/>
      <c r="LH40" s="107"/>
      <c r="LI40" s="107"/>
      <c r="LJ40" s="107"/>
      <c r="LK40" s="107"/>
      <c r="LL40" s="107"/>
      <c r="LM40" s="107"/>
      <c r="LN40" s="107"/>
      <c r="LO40" s="107"/>
      <c r="LP40" s="107"/>
      <c r="LQ40" s="107"/>
      <c r="LR40" s="107"/>
      <c r="LS40" s="107"/>
      <c r="LT40" s="107"/>
      <c r="LU40" s="107"/>
      <c r="LV40" s="107"/>
      <c r="LW40" s="107"/>
      <c r="LX40" s="107"/>
      <c r="LY40" s="107"/>
      <c r="LZ40" s="107"/>
      <c r="MA40" s="107"/>
      <c r="MB40" s="107"/>
      <c r="MC40" s="107"/>
      <c r="MD40" s="107"/>
      <c r="ME40" s="107"/>
      <c r="MF40" s="107"/>
      <c r="MG40" s="107"/>
      <c r="MH40" s="107"/>
      <c r="MI40" s="107"/>
      <c r="MJ40" s="107"/>
      <c r="MK40" s="107"/>
      <c r="ML40" s="107"/>
      <c r="MM40" s="107"/>
      <c r="MN40" s="107"/>
      <c r="MO40" s="107"/>
      <c r="MP40" s="107"/>
      <c r="MQ40" s="107"/>
      <c r="MR40" s="107"/>
      <c r="MS40" s="107"/>
      <c r="MT40" s="107"/>
      <c r="MU40" s="107"/>
      <c r="MV40" s="107"/>
      <c r="MW40" s="107"/>
      <c r="MX40" s="107"/>
      <c r="MY40" s="107"/>
      <c r="MZ40" s="107"/>
    </row>
    <row r="41" spans="5:364" ht="15.75" customHeight="1">
      <c r="AJ41"/>
      <c r="AK41"/>
      <c r="AL41"/>
      <c r="AM41"/>
      <c r="AN41"/>
      <c r="AO41"/>
      <c r="AP41"/>
      <c r="AQ41"/>
      <c r="AR41"/>
      <c r="AS41"/>
      <c r="AT41"/>
      <c r="AU41"/>
    </row>
    <row r="42" spans="5:364" ht="15.75" customHeight="1">
      <c r="AJ42"/>
      <c r="AK42"/>
      <c r="AL42"/>
    </row>
    <row r="43" spans="5:364" ht="15.75" customHeight="1">
      <c r="AJ43"/>
      <c r="AK43"/>
      <c r="AL43"/>
    </row>
    <row r="44" spans="5:364" ht="15.75" customHeight="1">
      <c r="AJ44"/>
      <c r="AK44"/>
      <c r="AL44"/>
    </row>
    <row r="45" spans="5:364" ht="15.75" customHeight="1">
      <c r="AJ45"/>
      <c r="AK45"/>
      <c r="AL45"/>
    </row>
    <row r="46" spans="5:364" ht="15.75" customHeight="1">
      <c r="AJ46"/>
      <c r="AK46"/>
      <c r="AL46"/>
    </row>
    <row r="47" spans="5:364" ht="15.75" customHeight="1">
      <c r="AJ47"/>
      <c r="AK47"/>
      <c r="AL47"/>
    </row>
    <row r="48" spans="5:364" ht="15.75" customHeight="1">
      <c r="AJ48"/>
      <c r="AK48"/>
      <c r="AL48"/>
    </row>
    <row r="49" spans="36:38" ht="15.75" customHeight="1">
      <c r="AJ49"/>
      <c r="AK49"/>
      <c r="AL49"/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49C27-06DA-C745-B490-43E88E4FB9A0}">
  <dimension ref="A1:E4"/>
  <sheetViews>
    <sheetView showGridLines="0" workbookViewId="0">
      <selection activeCell="E1" sqref="E1"/>
    </sheetView>
  </sheetViews>
  <sheetFormatPr defaultColWidth="11" defaultRowHeight="15.75"/>
  <cols>
    <col min="1" max="1" width="7.875" bestFit="1" customWidth="1"/>
    <col min="2" max="2" width="15.5" bestFit="1" customWidth="1"/>
    <col min="13" max="13" width="13.375" customWidth="1"/>
    <col min="14" max="14" width="9.875" bestFit="1" customWidth="1"/>
    <col min="15" max="15" width="17.5" bestFit="1" customWidth="1"/>
  </cols>
  <sheetData>
    <row r="1" spans="1:5" ht="18.75">
      <c r="A1" s="49" t="s">
        <v>19</v>
      </c>
      <c r="B1" s="49" t="s">
        <v>20</v>
      </c>
      <c r="C1" s="49" t="s">
        <v>45</v>
      </c>
      <c r="D1" s="49" t="s">
        <v>46</v>
      </c>
      <c r="E1" s="58" t="s">
        <v>47</v>
      </c>
    </row>
    <row r="2" spans="1:5" ht="18.75">
      <c r="A2" s="99" t="s">
        <v>36</v>
      </c>
      <c r="B2" s="97" t="s">
        <v>48</v>
      </c>
      <c r="C2" s="59">
        <v>4</v>
      </c>
      <c r="D2" s="59">
        <v>5</v>
      </c>
      <c r="E2" s="60">
        <f>C2/D2</f>
        <v>0.8</v>
      </c>
    </row>
    <row r="3" spans="1:5" ht="18.75">
      <c r="A3" s="99" t="s">
        <v>39</v>
      </c>
      <c r="B3" s="98" t="s">
        <v>49</v>
      </c>
      <c r="C3" s="59">
        <v>5</v>
      </c>
      <c r="D3" s="59">
        <v>2</v>
      </c>
      <c r="E3" s="60">
        <f t="shared" ref="E3:E4" si="0">C3/D3</f>
        <v>2.5</v>
      </c>
    </row>
    <row r="4" spans="1:5" ht="18.75">
      <c r="A4" s="99" t="s">
        <v>42</v>
      </c>
      <c r="B4" s="98" t="s">
        <v>50</v>
      </c>
      <c r="C4" s="59">
        <v>10</v>
      </c>
      <c r="D4" s="59">
        <v>0</v>
      </c>
      <c r="E4" s="60" t="e">
        <f>C4/D4</f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0CB12-A900-AE4A-8396-984923296B5D}">
  <dimension ref="O3:AB60"/>
  <sheetViews>
    <sheetView showGridLines="0" tabSelected="1" topLeftCell="L1" zoomScale="85" workbookViewId="0">
      <selection activeCell="O16" sqref="O16"/>
    </sheetView>
  </sheetViews>
  <sheetFormatPr defaultColWidth="11" defaultRowHeight="15.75" customHeight="1"/>
  <cols>
    <col min="14" max="14" width="12.125" customWidth="1"/>
    <col min="15" max="15" width="9.625" customWidth="1"/>
    <col min="16" max="16" width="21.25" bestFit="1" customWidth="1"/>
    <col min="17" max="17" width="13.125" bestFit="1" customWidth="1"/>
  </cols>
  <sheetData>
    <row r="3" spans="15:28" ht="21">
      <c r="O3" s="114" t="s">
        <v>51</v>
      </c>
      <c r="P3" s="114" t="s">
        <v>20</v>
      </c>
      <c r="Q3" s="114" t="s">
        <v>52</v>
      </c>
      <c r="R3" s="114" t="s">
        <v>24</v>
      </c>
      <c r="S3" s="114" t="s">
        <v>25</v>
      </c>
      <c r="T3" s="114" t="s">
        <v>4</v>
      </c>
      <c r="U3" s="115" t="s">
        <v>53</v>
      </c>
      <c r="V3" s="116" t="s">
        <v>54</v>
      </c>
      <c r="W3" s="114" t="s">
        <v>26</v>
      </c>
      <c r="X3" s="114" t="s">
        <v>27</v>
      </c>
      <c r="Y3" s="114" t="s">
        <v>5</v>
      </c>
      <c r="Z3" s="114" t="s">
        <v>28</v>
      </c>
      <c r="AA3" s="114" t="s">
        <v>29</v>
      </c>
      <c r="AB3" s="114" t="s">
        <v>6</v>
      </c>
    </row>
    <row r="4" spans="15:28" ht="62.25">
      <c r="O4" s="117" t="s">
        <v>55</v>
      </c>
      <c r="P4" s="118" t="s">
        <v>48</v>
      </c>
      <c r="Q4" s="119" t="s">
        <v>38</v>
      </c>
      <c r="R4" s="120">
        <v>4</v>
      </c>
      <c r="S4" s="121">
        <v>9</v>
      </c>
      <c r="T4" s="122">
        <f t="shared" ref="T4:T6" si="0">R4/S4</f>
        <v>0.44444444444444442</v>
      </c>
      <c r="U4" s="123">
        <v>3</v>
      </c>
      <c r="V4" s="123">
        <v>3</v>
      </c>
      <c r="W4" s="121">
        <v>3</v>
      </c>
      <c r="X4" s="121">
        <v>6</v>
      </c>
      <c r="Y4" s="122">
        <f t="shared" ref="Y4:Y6" si="1">W4/X4</f>
        <v>0.5</v>
      </c>
      <c r="Z4" s="120">
        <v>1</v>
      </c>
      <c r="AA4" s="121">
        <v>3</v>
      </c>
      <c r="AB4" s="124">
        <f>Z4/AA4</f>
        <v>0.33333333333333331</v>
      </c>
    </row>
    <row r="5" spans="15:28" ht="62.25">
      <c r="O5" s="117" t="s">
        <v>55</v>
      </c>
      <c r="P5" s="125" t="s">
        <v>49</v>
      </c>
      <c r="Q5" s="119" t="s">
        <v>38</v>
      </c>
      <c r="R5" s="121">
        <v>7</v>
      </c>
      <c r="S5" s="121">
        <v>21</v>
      </c>
      <c r="T5" s="122">
        <f t="shared" si="0"/>
        <v>0.33333333333333331</v>
      </c>
      <c r="U5" s="123">
        <v>4</v>
      </c>
      <c r="V5" s="123">
        <v>4</v>
      </c>
      <c r="W5" s="121">
        <v>6</v>
      </c>
      <c r="X5" s="121">
        <v>14</v>
      </c>
      <c r="Y5" s="122">
        <f t="shared" si="1"/>
        <v>0.42857142857142855</v>
      </c>
      <c r="Z5" s="126" t="s">
        <v>41</v>
      </c>
      <c r="AA5" s="121">
        <v>7</v>
      </c>
      <c r="AB5" s="124">
        <f>Z5/AA5</f>
        <v>0.14285714285714285</v>
      </c>
    </row>
    <row r="6" spans="15:28" ht="62.25">
      <c r="O6" s="117" t="s">
        <v>55</v>
      </c>
      <c r="P6" s="125" t="s">
        <v>50</v>
      </c>
      <c r="Q6" s="119" t="s">
        <v>38</v>
      </c>
      <c r="R6" s="121">
        <v>2</v>
      </c>
      <c r="S6" s="121">
        <v>12</v>
      </c>
      <c r="T6" s="122">
        <f t="shared" si="0"/>
        <v>0.16666666666666666</v>
      </c>
      <c r="U6" s="123">
        <v>2</v>
      </c>
      <c r="V6" s="123">
        <v>1</v>
      </c>
      <c r="W6" s="121">
        <v>1</v>
      </c>
      <c r="X6" s="121">
        <v>7</v>
      </c>
      <c r="Y6" s="122">
        <f t="shared" si="1"/>
        <v>0.14285714285714285</v>
      </c>
      <c r="Z6" s="126" t="s">
        <v>41</v>
      </c>
      <c r="AA6" s="121">
        <v>5</v>
      </c>
      <c r="AB6" s="124">
        <f>Z6/AA6</f>
        <v>0.2</v>
      </c>
    </row>
    <row r="7" spans="15:28"/>
    <row r="8" spans="15:28"/>
    <row r="9" spans="15:28"/>
    <row r="10" spans="15:28"/>
    <row r="11" spans="15:28"/>
    <row r="12" spans="15:28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6"/>
    <row r="57"/>
    <row r="58"/>
    <row r="59"/>
    <row r="60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CF197-FD8A-9B4F-95AE-9534659F2692}">
  <dimension ref="A1:J13"/>
  <sheetViews>
    <sheetView workbookViewId="0">
      <selection activeCell="L8" sqref="L8"/>
    </sheetView>
  </sheetViews>
  <sheetFormatPr defaultColWidth="11" defaultRowHeight="15.95"/>
  <cols>
    <col min="3" max="9" width="13.375" bestFit="1" customWidth="1"/>
    <col min="16" max="16" width="13.375" bestFit="1" customWidth="1"/>
  </cols>
  <sheetData>
    <row r="1" spans="1:10">
      <c r="A1" s="57" t="s">
        <v>19</v>
      </c>
      <c r="B1" s="57" t="s">
        <v>56</v>
      </c>
      <c r="C1" s="57" t="s">
        <v>52</v>
      </c>
      <c r="D1" s="57" t="s">
        <v>34</v>
      </c>
      <c r="E1" s="57" t="s">
        <v>35</v>
      </c>
      <c r="F1" s="57" t="s">
        <v>57</v>
      </c>
      <c r="J1" s="68"/>
    </row>
    <row r="2" spans="1:10" ht="32.25">
      <c r="A2" s="99" t="s">
        <v>36</v>
      </c>
      <c r="B2" s="101" t="s">
        <v>48</v>
      </c>
      <c r="C2" s="96" t="s">
        <v>38</v>
      </c>
      <c r="D2" s="104">
        <v>4</v>
      </c>
      <c r="E2" s="104">
        <v>0</v>
      </c>
      <c r="F2" s="104">
        <v>9</v>
      </c>
      <c r="H2" s="102"/>
      <c r="I2" s="102"/>
      <c r="J2" s="103"/>
    </row>
    <row r="3" spans="1:10" ht="32.25">
      <c r="A3" s="99" t="s">
        <v>39</v>
      </c>
      <c r="B3" s="100" t="s">
        <v>49</v>
      </c>
      <c r="C3" s="96" t="s">
        <v>38</v>
      </c>
      <c r="D3" s="104">
        <v>0</v>
      </c>
      <c r="E3" s="104">
        <v>1</v>
      </c>
      <c r="F3" s="104">
        <v>3</v>
      </c>
      <c r="H3" s="102"/>
      <c r="I3" s="102"/>
      <c r="J3" s="103"/>
    </row>
    <row r="4" spans="1:10" ht="32.25">
      <c r="A4" s="99" t="s">
        <v>42</v>
      </c>
      <c r="B4" s="100" t="s">
        <v>50</v>
      </c>
      <c r="C4" s="96" t="s">
        <v>38</v>
      </c>
      <c r="D4" s="68">
        <v>2</v>
      </c>
      <c r="E4" s="104">
        <v>0</v>
      </c>
      <c r="F4" s="104">
        <v>6</v>
      </c>
      <c r="H4" s="102"/>
      <c r="I4" s="102"/>
      <c r="J4" s="103"/>
    </row>
    <row r="5" spans="1:10" ht="15.75"/>
    <row r="6" spans="1:10" ht="15.75"/>
    <row r="7" spans="1:10" ht="15.75"/>
    <row r="8" spans="1:10" ht="15.75"/>
    <row r="9" spans="1:10" ht="15.75"/>
    <row r="10" spans="1:10" ht="15.75"/>
    <row r="11" spans="1:10" ht="15.75"/>
    <row r="12" spans="1:10" ht="15.75"/>
    <row r="13" spans="1:10" ht="15.7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9D898-36F5-3041-8C20-492649A38759}">
  <dimension ref="M4:O16"/>
  <sheetViews>
    <sheetView showGridLines="0" workbookViewId="0">
      <selection activeCell="H23" sqref="H23"/>
    </sheetView>
  </sheetViews>
  <sheetFormatPr defaultColWidth="11" defaultRowHeight="15.95"/>
  <cols>
    <col min="10" max="10" width="12.625" bestFit="1" customWidth="1"/>
    <col min="11" max="11" width="11.875" customWidth="1"/>
  </cols>
  <sheetData>
    <row r="4" spans="13:15">
      <c r="M4" s="57" t="s">
        <v>19</v>
      </c>
      <c r="N4" s="57" t="s">
        <v>20</v>
      </c>
      <c r="O4" s="57" t="s">
        <v>11</v>
      </c>
    </row>
    <row r="5" spans="13:15" ht="27">
      <c r="M5" s="99" t="s">
        <v>36</v>
      </c>
      <c r="N5" s="101" t="s">
        <v>48</v>
      </c>
      <c r="O5" s="105">
        <v>6</v>
      </c>
    </row>
    <row r="6" spans="13:15" ht="15.75">
      <c r="M6" s="99" t="s">
        <v>39</v>
      </c>
      <c r="N6" s="100" t="s">
        <v>49</v>
      </c>
      <c r="O6" s="106">
        <v>10</v>
      </c>
    </row>
    <row r="7" spans="13:15" ht="15.75">
      <c r="M7" s="99" t="s">
        <v>42</v>
      </c>
      <c r="N7" s="100" t="s">
        <v>50</v>
      </c>
      <c r="O7" s="106">
        <v>9</v>
      </c>
    </row>
    <row r="8" spans="13:15" ht="15.75"/>
    <row r="9" spans="13:15" ht="15.75"/>
    <row r="10" spans="13:15" ht="15.75"/>
    <row r="11" spans="13:15" ht="15.75"/>
    <row r="12" spans="13:15" ht="15.75"/>
    <row r="13" spans="13:15" ht="15.75"/>
    <row r="14" spans="13:15" ht="15.75"/>
    <row r="15" spans="13:15" ht="15.75"/>
    <row r="16" spans="13:15" ht="15.7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Game OVA Team</cp:lastModifiedBy>
  <cp:revision/>
  <dcterms:created xsi:type="dcterms:W3CDTF">2021-01-30T04:35:14Z</dcterms:created>
  <dcterms:modified xsi:type="dcterms:W3CDTF">2023-08-08T04:30:18Z</dcterms:modified>
  <cp:category/>
  <cp:contentStatus/>
</cp:coreProperties>
</file>